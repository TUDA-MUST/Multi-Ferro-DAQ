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uppelt\Documents\Multi-Ferro-DAQ\PCB\"/>
    </mc:Choice>
  </mc:AlternateContent>
  <xr:revisionPtr revIDLastSave="0" documentId="13_ncr:1_{F701990B-C4EA-4C4A-ABDF-7E65E183C1AB}" xr6:coauthVersionLast="47" xr6:coauthVersionMax="47" xr10:uidLastSave="{00000000-0000-0000-0000-000000000000}"/>
  <bookViews>
    <workbookView xWindow="-120" yWindow="-120" windowWidth="29040" windowHeight="15840" xr2:uid="{2C81B141-2D44-4F25-A563-C40D99CC92B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B4" i="1" s="1"/>
  <c r="M4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I2" i="1"/>
  <c r="H2" i="1"/>
  <c r="B3" i="1"/>
  <c r="B5" i="1"/>
  <c r="B73" i="1"/>
  <c r="B99" i="1"/>
  <c r="B146" i="1"/>
  <c r="B161" i="1"/>
  <c r="B165" i="1"/>
  <c r="B159" i="1" l="1"/>
  <c r="B109" i="1"/>
  <c r="B107" i="1"/>
  <c r="B72" i="1"/>
  <c r="B54" i="1"/>
  <c r="B117" i="1"/>
  <c r="B46" i="1"/>
  <c r="B137" i="1"/>
  <c r="B136" i="1"/>
  <c r="B115" i="1"/>
  <c r="B45" i="1"/>
  <c r="B89" i="1"/>
  <c r="B173" i="1"/>
  <c r="B135" i="1"/>
  <c r="B79" i="1"/>
  <c r="B27" i="1"/>
  <c r="B35" i="1"/>
  <c r="B168" i="1"/>
  <c r="B134" i="1"/>
  <c r="B77" i="1"/>
  <c r="B6" i="1"/>
  <c r="B153" i="1"/>
  <c r="B95" i="1"/>
  <c r="B26" i="1"/>
  <c r="B177" i="1"/>
  <c r="B152" i="1"/>
  <c r="B128" i="1"/>
  <c r="B91" i="1"/>
  <c r="B61" i="1"/>
  <c r="B25" i="1"/>
  <c r="B179" i="1"/>
  <c r="B131" i="1"/>
  <c r="B71" i="1"/>
  <c r="B174" i="1"/>
  <c r="B150" i="1"/>
  <c r="B118" i="1"/>
  <c r="B90" i="1"/>
  <c r="B55" i="1"/>
  <c r="B24" i="1"/>
  <c r="B182" i="1"/>
  <c r="B163" i="1"/>
  <c r="B145" i="1"/>
  <c r="B125" i="1"/>
  <c r="B106" i="1"/>
  <c r="B88" i="1"/>
  <c r="B64" i="1"/>
  <c r="B43" i="1"/>
  <c r="B18" i="1"/>
  <c r="B181" i="1"/>
  <c r="B162" i="1"/>
  <c r="B144" i="1"/>
  <c r="B122" i="1"/>
  <c r="B104" i="1"/>
  <c r="B86" i="1"/>
  <c r="B63" i="1"/>
  <c r="B42" i="1"/>
  <c r="B17" i="1"/>
  <c r="B119" i="1"/>
  <c r="B101" i="1"/>
  <c r="B80" i="1"/>
  <c r="B62" i="1"/>
  <c r="B37" i="1"/>
  <c r="B7" i="1"/>
  <c r="B171" i="1"/>
  <c r="B155" i="1"/>
  <c r="B143" i="1"/>
  <c r="B127" i="1"/>
  <c r="B113" i="1"/>
  <c r="B98" i="1"/>
  <c r="B82" i="1"/>
  <c r="B70" i="1"/>
  <c r="B53" i="1"/>
  <c r="B34" i="1"/>
  <c r="B15" i="1"/>
  <c r="B183" i="1"/>
  <c r="B170" i="1"/>
  <c r="B154" i="1"/>
  <c r="B141" i="1"/>
  <c r="B126" i="1"/>
  <c r="B110" i="1"/>
  <c r="B97" i="1"/>
  <c r="B81" i="1"/>
  <c r="B67" i="1"/>
  <c r="B51" i="1"/>
  <c r="B33" i="1"/>
  <c r="B14" i="1"/>
  <c r="B58" i="1"/>
  <c r="B49" i="1"/>
  <c r="B40" i="1"/>
  <c r="B31" i="1"/>
  <c r="B22" i="1"/>
  <c r="B11" i="1"/>
  <c r="B2" i="1"/>
  <c r="B176" i="1"/>
  <c r="B167" i="1"/>
  <c r="B158" i="1"/>
  <c r="B149" i="1"/>
  <c r="B139" i="1"/>
  <c r="B130" i="1"/>
  <c r="B121" i="1"/>
  <c r="B112" i="1"/>
  <c r="B103" i="1"/>
  <c r="B94" i="1"/>
  <c r="B85" i="1"/>
  <c r="B75" i="1"/>
  <c r="B66" i="1"/>
  <c r="B57" i="1"/>
  <c r="B48" i="1"/>
  <c r="B39" i="1"/>
  <c r="B30" i="1"/>
  <c r="B21" i="1"/>
  <c r="B10" i="1"/>
  <c r="B184" i="1"/>
  <c r="B175" i="1"/>
  <c r="B166" i="1"/>
  <c r="B157" i="1"/>
  <c r="B147" i="1"/>
  <c r="B138" i="1"/>
  <c r="B129" i="1"/>
  <c r="B120" i="1"/>
  <c r="B111" i="1"/>
  <c r="B102" i="1"/>
  <c r="B93" i="1"/>
  <c r="B83" i="1"/>
  <c r="B74" i="1"/>
  <c r="B65" i="1"/>
  <c r="B56" i="1"/>
  <c r="B47" i="1"/>
  <c r="B38" i="1"/>
  <c r="B29" i="1"/>
  <c r="B19" i="1"/>
  <c r="B9" i="1"/>
  <c r="B178" i="1"/>
  <c r="B169" i="1"/>
  <c r="B160" i="1"/>
  <c r="B151" i="1"/>
  <c r="B142" i="1"/>
  <c r="B133" i="1"/>
  <c r="B123" i="1"/>
  <c r="B114" i="1"/>
  <c r="B105" i="1"/>
  <c r="B96" i="1"/>
  <c r="B87" i="1"/>
  <c r="B78" i="1"/>
  <c r="B69" i="1"/>
  <c r="B59" i="1"/>
  <c r="B50" i="1"/>
  <c r="B41" i="1"/>
  <c r="B32" i="1"/>
  <c r="B23" i="1"/>
  <c r="B13" i="1"/>
  <c r="O1" i="1"/>
  <c r="B16" i="1"/>
  <c r="B8" i="1"/>
  <c r="B180" i="1"/>
  <c r="B172" i="1"/>
  <c r="B164" i="1"/>
  <c r="B156" i="1"/>
  <c r="B148" i="1"/>
  <c r="B140" i="1"/>
  <c r="B132" i="1"/>
  <c r="B124" i="1"/>
  <c r="B116" i="1"/>
  <c r="B108" i="1"/>
  <c r="B100" i="1"/>
  <c r="B92" i="1"/>
  <c r="B84" i="1"/>
  <c r="B76" i="1"/>
  <c r="B68" i="1"/>
  <c r="B60" i="1"/>
  <c r="B52" i="1"/>
  <c r="B44" i="1"/>
  <c r="B36" i="1"/>
  <c r="B28" i="1"/>
  <c r="B20" i="1"/>
  <c r="B12" i="1"/>
  <c r="C6" i="1" l="1"/>
  <c r="C10" i="1"/>
  <c r="D10" i="1" s="1"/>
  <c r="C18" i="1"/>
  <c r="C26" i="1"/>
  <c r="C34" i="1"/>
  <c r="C42" i="1"/>
  <c r="C50" i="1"/>
  <c r="D50" i="1" s="1"/>
  <c r="C58" i="1"/>
  <c r="E58" i="1" s="1"/>
  <c r="C66" i="1"/>
  <c r="D66" i="1" s="1"/>
  <c r="C74" i="1"/>
  <c r="C82" i="1"/>
  <c r="C90" i="1"/>
  <c r="C98" i="1"/>
  <c r="C106" i="1"/>
  <c r="C114" i="1"/>
  <c r="D114" i="1" s="1"/>
  <c r="C122" i="1"/>
  <c r="C130" i="1"/>
  <c r="D130" i="1" s="1"/>
  <c r="C138" i="1"/>
  <c r="C146" i="1"/>
  <c r="C154" i="1"/>
  <c r="C162" i="1"/>
  <c r="C170" i="1"/>
  <c r="C178" i="1"/>
  <c r="D178" i="1" s="1"/>
  <c r="C11" i="1"/>
  <c r="D11" i="1" s="1"/>
  <c r="C19" i="1"/>
  <c r="E19" i="1" s="1"/>
  <c r="C27" i="1"/>
  <c r="C35" i="1"/>
  <c r="C43" i="1"/>
  <c r="C51" i="1"/>
  <c r="C59" i="1"/>
  <c r="C67" i="1"/>
  <c r="C75" i="1"/>
  <c r="E75" i="1" s="1"/>
  <c r="C83" i="1"/>
  <c r="E83" i="1" s="1"/>
  <c r="C91" i="1"/>
  <c r="C99" i="1"/>
  <c r="C107" i="1"/>
  <c r="C115" i="1"/>
  <c r="C123" i="1"/>
  <c r="C131" i="1"/>
  <c r="C139" i="1"/>
  <c r="C147" i="1"/>
  <c r="C155" i="1"/>
  <c r="C163" i="1"/>
  <c r="C171" i="1"/>
  <c r="C179" i="1"/>
  <c r="C60" i="1"/>
  <c r="E60" i="1" s="1"/>
  <c r="C3" i="1"/>
  <c r="C12" i="1"/>
  <c r="D12" i="1" s="1"/>
  <c r="C20" i="1"/>
  <c r="D20" i="1" s="1"/>
  <c r="C28" i="1"/>
  <c r="D28" i="1" s="1"/>
  <c r="C44" i="1"/>
  <c r="E44" i="1" s="1"/>
  <c r="C52" i="1"/>
  <c r="D52" i="1" s="1"/>
  <c r="C68" i="1"/>
  <c r="D68" i="1" s="1"/>
  <c r="C76" i="1"/>
  <c r="D76" i="1" s="1"/>
  <c r="C84" i="1"/>
  <c r="D84" i="1" s="1"/>
  <c r="C92" i="1"/>
  <c r="D92" i="1" s="1"/>
  <c r="C100" i="1"/>
  <c r="D100" i="1" s="1"/>
  <c r="C108" i="1"/>
  <c r="D108" i="1" s="1"/>
  <c r="C116" i="1"/>
  <c r="D116" i="1" s="1"/>
  <c r="C132" i="1"/>
  <c r="D132" i="1" s="1"/>
  <c r="C140" i="1"/>
  <c r="E140" i="1" s="1"/>
  <c r="C148" i="1"/>
  <c r="D148" i="1" s="1"/>
  <c r="C156" i="1"/>
  <c r="E156" i="1" s="1"/>
  <c r="C164" i="1"/>
  <c r="D164" i="1" s="1"/>
  <c r="C172" i="1"/>
  <c r="E172" i="1" s="1"/>
  <c r="C180" i="1"/>
  <c r="D180" i="1" s="1"/>
  <c r="C4" i="1"/>
  <c r="C13" i="1"/>
  <c r="C21" i="1"/>
  <c r="C29" i="1"/>
  <c r="D29" i="1" s="1"/>
  <c r="C37" i="1"/>
  <c r="C45" i="1"/>
  <c r="C53" i="1"/>
  <c r="C61" i="1"/>
  <c r="C69" i="1"/>
  <c r="C77" i="1"/>
  <c r="C85" i="1"/>
  <c r="C93" i="1"/>
  <c r="D93" i="1" s="1"/>
  <c r="C101" i="1"/>
  <c r="C109" i="1"/>
  <c r="C117" i="1"/>
  <c r="C125" i="1"/>
  <c r="C133" i="1"/>
  <c r="C141" i="1"/>
  <c r="C149" i="1"/>
  <c r="D149" i="1" s="1"/>
  <c r="C157" i="1"/>
  <c r="D157" i="1" s="1"/>
  <c r="C5" i="1"/>
  <c r="C14" i="1"/>
  <c r="C22" i="1"/>
  <c r="D22" i="1" s="1"/>
  <c r="C30" i="1"/>
  <c r="D30" i="1" s="1"/>
  <c r="C38" i="1"/>
  <c r="D38" i="1" s="1"/>
  <c r="C46" i="1"/>
  <c r="C54" i="1"/>
  <c r="C62" i="1"/>
  <c r="C70" i="1"/>
  <c r="C78" i="1"/>
  <c r="D78" i="1" s="1"/>
  <c r="C86" i="1"/>
  <c r="C94" i="1"/>
  <c r="E94" i="1" s="1"/>
  <c r="C102" i="1"/>
  <c r="D102" i="1" s="1"/>
  <c r="C110" i="1"/>
  <c r="C118" i="1"/>
  <c r="C126" i="1"/>
  <c r="C134" i="1"/>
  <c r="C142" i="1"/>
  <c r="D142" i="1" s="1"/>
  <c r="C150" i="1"/>
  <c r="C158" i="1"/>
  <c r="D158" i="1" s="1"/>
  <c r="C166" i="1"/>
  <c r="D166" i="1" s="1"/>
  <c r="C174" i="1"/>
  <c r="C7" i="1"/>
  <c r="C15" i="1"/>
  <c r="C23" i="1"/>
  <c r="D23" i="1" s="1"/>
  <c r="C31" i="1"/>
  <c r="E31" i="1" s="1"/>
  <c r="C39" i="1"/>
  <c r="D39" i="1" s="1"/>
  <c r="C47" i="1"/>
  <c r="D47" i="1" s="1"/>
  <c r="C55" i="1"/>
  <c r="C63" i="1"/>
  <c r="C71" i="1"/>
  <c r="C79" i="1"/>
  <c r="C87" i="1"/>
  <c r="E87" i="1" s="1"/>
  <c r="C95" i="1"/>
  <c r="C103" i="1"/>
  <c r="D103" i="1" s="1"/>
  <c r="C111" i="1"/>
  <c r="D111" i="1" s="1"/>
  <c r="C119" i="1"/>
  <c r="C127" i="1"/>
  <c r="C135" i="1"/>
  <c r="C143" i="1"/>
  <c r="C151" i="1"/>
  <c r="D151" i="1" s="1"/>
  <c r="C159" i="1"/>
  <c r="C167" i="1"/>
  <c r="D167" i="1" s="1"/>
  <c r="C175" i="1"/>
  <c r="E175" i="1" s="1"/>
  <c r="C183" i="1"/>
  <c r="C17" i="1"/>
  <c r="C25" i="1"/>
  <c r="C124" i="1"/>
  <c r="D124" i="1" s="1"/>
  <c r="C8" i="1"/>
  <c r="D8" i="1" s="1"/>
  <c r="C16" i="1"/>
  <c r="D16" i="1" s="1"/>
  <c r="C24" i="1"/>
  <c r="C32" i="1"/>
  <c r="D32" i="1" s="1"/>
  <c r="C40" i="1"/>
  <c r="D40" i="1" s="1"/>
  <c r="C48" i="1"/>
  <c r="E48" i="1" s="1"/>
  <c r="C56" i="1"/>
  <c r="C64" i="1"/>
  <c r="C72" i="1"/>
  <c r="C80" i="1"/>
  <c r="C88" i="1"/>
  <c r="C96" i="1"/>
  <c r="D96" i="1" s="1"/>
  <c r="C104" i="1"/>
  <c r="C112" i="1"/>
  <c r="D112" i="1" s="1"/>
  <c r="C120" i="1"/>
  <c r="E120" i="1" s="1"/>
  <c r="C128" i="1"/>
  <c r="C136" i="1"/>
  <c r="C144" i="1"/>
  <c r="C152" i="1"/>
  <c r="C160" i="1"/>
  <c r="E160" i="1" s="1"/>
  <c r="C168" i="1"/>
  <c r="C176" i="1"/>
  <c r="D176" i="1" s="1"/>
  <c r="C184" i="1"/>
  <c r="D184" i="1" s="1"/>
  <c r="C9" i="1"/>
  <c r="D9" i="1" s="1"/>
  <c r="C33" i="1"/>
  <c r="C41" i="1"/>
  <c r="D41" i="1" s="1"/>
  <c r="C49" i="1"/>
  <c r="D49" i="1" s="1"/>
  <c r="C57" i="1"/>
  <c r="E57" i="1" s="1"/>
  <c r="C65" i="1"/>
  <c r="D65" i="1" s="1"/>
  <c r="C73" i="1"/>
  <c r="C81" i="1"/>
  <c r="C89" i="1"/>
  <c r="C97" i="1"/>
  <c r="C105" i="1"/>
  <c r="D105" i="1" s="1"/>
  <c r="C113" i="1"/>
  <c r="C121" i="1"/>
  <c r="D121" i="1" s="1"/>
  <c r="C129" i="1"/>
  <c r="D129" i="1" s="1"/>
  <c r="C137" i="1"/>
  <c r="C145" i="1"/>
  <c r="C153" i="1"/>
  <c r="C161" i="1"/>
  <c r="C169" i="1"/>
  <c r="D169" i="1" s="1"/>
  <c r="C177" i="1"/>
  <c r="C2" i="1"/>
  <c r="D2" i="1" s="1"/>
  <c r="C36" i="1"/>
  <c r="D36" i="1" s="1"/>
  <c r="C181" i="1"/>
  <c r="C182" i="1"/>
  <c r="C173" i="1"/>
  <c r="C165" i="1"/>
  <c r="E78" i="1"/>
  <c r="E40" i="1" l="1"/>
  <c r="E166" i="1"/>
  <c r="E23" i="1"/>
  <c r="E178" i="1"/>
  <c r="E92" i="1"/>
  <c r="E114" i="1"/>
  <c r="E142" i="1"/>
  <c r="D31" i="1"/>
  <c r="E16" i="1"/>
  <c r="E164" i="1"/>
  <c r="D57" i="1"/>
  <c r="E47" i="1"/>
  <c r="E151" i="1"/>
  <c r="E12" i="1"/>
  <c r="E41" i="1"/>
  <c r="E105" i="1"/>
  <c r="E100" i="1"/>
  <c r="D75" i="1"/>
  <c r="D87" i="1"/>
  <c r="E84" i="1"/>
  <c r="E49" i="1"/>
  <c r="E22" i="1"/>
  <c r="E169" i="1"/>
  <c r="E103" i="1"/>
  <c r="E36" i="1"/>
  <c r="E38" i="1"/>
  <c r="E66" i="1"/>
  <c r="D83" i="1"/>
  <c r="E52" i="1"/>
  <c r="D58" i="1"/>
  <c r="E129" i="1"/>
  <c r="E50" i="1"/>
  <c r="D156" i="1"/>
  <c r="E20" i="1"/>
  <c r="E180" i="1"/>
  <c r="D172" i="1"/>
  <c r="D44" i="1"/>
  <c r="E149" i="1"/>
  <c r="E116" i="1"/>
  <c r="E176" i="1"/>
  <c r="E102" i="1"/>
  <c r="E112" i="1"/>
  <c r="E65" i="1"/>
  <c r="E111" i="1"/>
  <c r="D160" i="1"/>
  <c r="D48" i="1"/>
  <c r="E11" i="1"/>
  <c r="D60" i="1"/>
  <c r="E184" i="1"/>
  <c r="E39" i="1"/>
  <c r="E125" i="1"/>
  <c r="D125" i="1"/>
  <c r="E61" i="1"/>
  <c r="D61" i="1"/>
  <c r="E155" i="1"/>
  <c r="D155" i="1"/>
  <c r="D91" i="1"/>
  <c r="E91" i="1"/>
  <c r="E27" i="1"/>
  <c r="D27" i="1"/>
  <c r="D138" i="1"/>
  <c r="E138" i="1"/>
  <c r="E74" i="1"/>
  <c r="D74" i="1"/>
  <c r="E108" i="1"/>
  <c r="D94" i="1"/>
  <c r="E32" i="1"/>
  <c r="D177" i="1"/>
  <c r="E177" i="1"/>
  <c r="D113" i="1"/>
  <c r="E113" i="1"/>
  <c r="E152" i="1"/>
  <c r="D152" i="1"/>
  <c r="E88" i="1"/>
  <c r="D88" i="1"/>
  <c r="E24" i="1"/>
  <c r="D24" i="1"/>
  <c r="D150" i="1"/>
  <c r="E150" i="1"/>
  <c r="E86" i="1"/>
  <c r="D86" i="1"/>
  <c r="D117" i="1"/>
  <c r="E117" i="1"/>
  <c r="E53" i="1"/>
  <c r="D53" i="1"/>
  <c r="D147" i="1"/>
  <c r="E147" i="1"/>
  <c r="D6" i="1"/>
  <c r="E6" i="1"/>
  <c r="E124" i="1"/>
  <c r="E121" i="1"/>
  <c r="D140" i="1"/>
  <c r="E132" i="1"/>
  <c r="E29" i="1"/>
  <c r="E130" i="1"/>
  <c r="E144" i="1"/>
  <c r="D144" i="1"/>
  <c r="E80" i="1"/>
  <c r="D80" i="1"/>
  <c r="D159" i="1"/>
  <c r="E159" i="1"/>
  <c r="E95" i="1"/>
  <c r="D95" i="1"/>
  <c r="E14" i="1"/>
  <c r="D14" i="1"/>
  <c r="E109" i="1"/>
  <c r="D109" i="1"/>
  <c r="E45" i="1"/>
  <c r="D45" i="1"/>
  <c r="E139" i="1"/>
  <c r="D139" i="1"/>
  <c r="E122" i="1"/>
  <c r="D122" i="1"/>
  <c r="E68" i="1"/>
  <c r="E8" i="1"/>
  <c r="D120" i="1"/>
  <c r="E167" i="1"/>
  <c r="E28" i="1"/>
  <c r="E148" i="1"/>
  <c r="D165" i="1"/>
  <c r="E165" i="1"/>
  <c r="E161" i="1"/>
  <c r="D161" i="1"/>
  <c r="D97" i="1"/>
  <c r="E97" i="1"/>
  <c r="D33" i="1"/>
  <c r="E33" i="1"/>
  <c r="E136" i="1"/>
  <c r="D136" i="1"/>
  <c r="D72" i="1"/>
  <c r="E72" i="1"/>
  <c r="D134" i="1"/>
  <c r="E134" i="1"/>
  <c r="E70" i="1"/>
  <c r="D70" i="1"/>
  <c r="E5" i="1"/>
  <c r="D5" i="1"/>
  <c r="D101" i="1"/>
  <c r="E101" i="1"/>
  <c r="D37" i="1"/>
  <c r="E37" i="1"/>
  <c r="E3" i="1"/>
  <c r="D3" i="1"/>
  <c r="E131" i="1"/>
  <c r="D131" i="1"/>
  <c r="E67" i="1"/>
  <c r="D67" i="1"/>
  <c r="E9" i="1"/>
  <c r="E173" i="1"/>
  <c r="D173" i="1"/>
  <c r="E153" i="1"/>
  <c r="D153" i="1"/>
  <c r="D89" i="1"/>
  <c r="E89" i="1"/>
  <c r="E128" i="1"/>
  <c r="D128" i="1"/>
  <c r="D64" i="1"/>
  <c r="E64" i="1"/>
  <c r="D143" i="1"/>
  <c r="E143" i="1"/>
  <c r="E79" i="1"/>
  <c r="D79" i="1"/>
  <c r="D15" i="1"/>
  <c r="E15" i="1"/>
  <c r="E126" i="1"/>
  <c r="D126" i="1"/>
  <c r="E62" i="1"/>
  <c r="D62" i="1"/>
  <c r="D123" i="1"/>
  <c r="E123" i="1"/>
  <c r="D59" i="1"/>
  <c r="E59" i="1"/>
  <c r="D170" i="1"/>
  <c r="E170" i="1"/>
  <c r="E106" i="1"/>
  <c r="D106" i="1"/>
  <c r="E42" i="1"/>
  <c r="D42" i="1"/>
  <c r="E10" i="1"/>
  <c r="E182" i="1"/>
  <c r="D182" i="1"/>
  <c r="E145" i="1"/>
  <c r="D145" i="1"/>
  <c r="D81" i="1"/>
  <c r="E81" i="1"/>
  <c r="D56" i="1"/>
  <c r="E56" i="1"/>
  <c r="E25" i="1"/>
  <c r="D25" i="1"/>
  <c r="D135" i="1"/>
  <c r="E135" i="1"/>
  <c r="D71" i="1"/>
  <c r="E71" i="1"/>
  <c r="E7" i="1"/>
  <c r="D7" i="1"/>
  <c r="D118" i="1"/>
  <c r="E118" i="1"/>
  <c r="E54" i="1"/>
  <c r="D54" i="1"/>
  <c r="D85" i="1"/>
  <c r="E85" i="1"/>
  <c r="D21" i="1"/>
  <c r="E21" i="1"/>
  <c r="E179" i="1"/>
  <c r="D179" i="1"/>
  <c r="E115" i="1"/>
  <c r="D115" i="1"/>
  <c r="D51" i="1"/>
  <c r="E51" i="1"/>
  <c r="E162" i="1"/>
  <c r="D162" i="1"/>
  <c r="E98" i="1"/>
  <c r="D98" i="1"/>
  <c r="D34" i="1"/>
  <c r="E34" i="1"/>
  <c r="E96" i="1"/>
  <c r="E30" i="1"/>
  <c r="D175" i="1"/>
  <c r="E93" i="1"/>
  <c r="D181" i="1"/>
  <c r="E181" i="1"/>
  <c r="D137" i="1"/>
  <c r="E137" i="1"/>
  <c r="D73" i="1"/>
  <c r="E73" i="1"/>
  <c r="D17" i="1"/>
  <c r="E17" i="1"/>
  <c r="D127" i="1"/>
  <c r="E127" i="1"/>
  <c r="D63" i="1"/>
  <c r="E63" i="1"/>
  <c r="D174" i="1"/>
  <c r="E174" i="1"/>
  <c r="E110" i="1"/>
  <c r="D110" i="1"/>
  <c r="E46" i="1"/>
  <c r="D46" i="1"/>
  <c r="E141" i="1"/>
  <c r="D141" i="1"/>
  <c r="E77" i="1"/>
  <c r="D77" i="1"/>
  <c r="D13" i="1"/>
  <c r="E13" i="1"/>
  <c r="E171" i="1"/>
  <c r="D171" i="1"/>
  <c r="D107" i="1"/>
  <c r="E107" i="1"/>
  <c r="E43" i="1"/>
  <c r="D43" i="1"/>
  <c r="E154" i="1"/>
  <c r="D154" i="1"/>
  <c r="D90" i="1"/>
  <c r="E90" i="1"/>
  <c r="E26" i="1"/>
  <c r="D26" i="1"/>
  <c r="E157" i="1"/>
  <c r="E2" i="1"/>
  <c r="E158" i="1"/>
  <c r="E76" i="1"/>
  <c r="D19" i="1"/>
  <c r="E168" i="1"/>
  <c r="D168" i="1"/>
  <c r="D104" i="1"/>
  <c r="E104" i="1"/>
  <c r="D183" i="1"/>
  <c r="E183" i="1"/>
  <c r="E119" i="1"/>
  <c r="D119" i="1"/>
  <c r="E55" i="1"/>
  <c r="D55" i="1"/>
  <c r="D133" i="1"/>
  <c r="E133" i="1"/>
  <c r="E69" i="1"/>
  <c r="D69" i="1"/>
  <c r="D4" i="1"/>
  <c r="E4" i="1"/>
  <c r="D163" i="1"/>
  <c r="E163" i="1"/>
  <c r="D99" i="1"/>
  <c r="E99" i="1"/>
  <c r="E35" i="1"/>
  <c r="D35" i="1"/>
  <c r="E146" i="1"/>
  <c r="D146" i="1"/>
  <c r="E82" i="1"/>
  <c r="D82" i="1"/>
  <c r="D18" i="1"/>
  <c r="E18" i="1"/>
  <c r="L4" i="1" l="1" a="1"/>
  <c r="L4" i="1" s="1"/>
  <c r="G18" i="1" l="1"/>
  <c r="G23" i="1"/>
  <c r="F2" i="1"/>
  <c r="F122" i="1"/>
  <c r="G88" i="1"/>
  <c r="G43" i="1"/>
  <c r="G120" i="1"/>
  <c r="G4" i="1"/>
  <c r="F14" i="1"/>
  <c r="G143" i="1"/>
  <c r="F61" i="1"/>
  <c r="F170" i="1"/>
  <c r="F7" i="1"/>
  <c r="F11" i="1"/>
  <c r="F36" i="1"/>
  <c r="F183" i="1"/>
  <c r="G19" i="1"/>
  <c r="F76" i="1"/>
  <c r="G166" i="1"/>
  <c r="F140" i="1"/>
  <c r="F162" i="1"/>
  <c r="F56" i="1"/>
  <c r="G135" i="1"/>
  <c r="G93" i="1"/>
  <c r="F33" i="1"/>
  <c r="F44" i="1"/>
  <c r="G125" i="1"/>
  <c r="G103" i="1"/>
  <c r="G82" i="1"/>
  <c r="F42" i="1"/>
  <c r="F130" i="1"/>
  <c r="G124" i="1"/>
  <c r="F180" i="1"/>
  <c r="G87" i="1"/>
  <c r="G66" i="1"/>
  <c r="G32" i="1"/>
  <c r="G45" i="1"/>
  <c r="G168" i="1"/>
  <c r="G179" i="1"/>
  <c r="F121" i="1"/>
  <c r="F182" i="1"/>
  <c r="F71" i="1"/>
  <c r="F126" i="1"/>
  <c r="G73" i="1"/>
  <c r="F55" i="1"/>
  <c r="F18" i="1"/>
  <c r="G20" i="1"/>
  <c r="G142" i="1"/>
  <c r="F68" i="1"/>
  <c r="F145" i="1"/>
  <c r="G53" i="1"/>
  <c r="G160" i="1"/>
  <c r="G104" i="1"/>
  <c r="G169" i="1"/>
  <c r="F22" i="1"/>
  <c r="G28" i="1"/>
  <c r="F59" i="1"/>
  <c r="F74" i="1"/>
  <c r="F90" i="1"/>
  <c r="G121" i="1"/>
  <c r="F153" i="1"/>
  <c r="G111" i="1"/>
  <c r="G146" i="1"/>
  <c r="G3" i="1"/>
  <c r="G116" i="1"/>
  <c r="F169" i="1"/>
  <c r="F47" i="1"/>
  <c r="G74" i="1"/>
  <c r="F62" i="1"/>
  <c r="G140" i="1"/>
  <c r="F85" i="1"/>
  <c r="F171" i="1"/>
  <c r="F143" i="1"/>
  <c r="G134" i="1"/>
  <c r="F52" i="1"/>
  <c r="G141" i="1"/>
  <c r="G132" i="1"/>
  <c r="F82" i="1"/>
  <c r="G107" i="1"/>
  <c r="G118" i="1"/>
  <c r="G138" i="1"/>
  <c r="F131" i="1"/>
  <c r="G92" i="1"/>
  <c r="F144" i="1"/>
  <c r="F123" i="1"/>
  <c r="F147" i="1"/>
  <c r="F156" i="1"/>
  <c r="F70" i="1"/>
  <c r="G112" i="1"/>
  <c r="G99" i="1"/>
  <c r="G38" i="1"/>
  <c r="G159" i="1"/>
  <c r="G153" i="1"/>
  <c r="G22" i="1"/>
  <c r="F166" i="1"/>
  <c r="F100" i="1"/>
  <c r="G127" i="1"/>
  <c r="F149" i="1"/>
  <c r="F117" i="1"/>
  <c r="G24" i="1"/>
  <c r="F79" i="1"/>
  <c r="F32" i="1"/>
  <c r="G130" i="1"/>
  <c r="F127" i="1"/>
  <c r="G115" i="1"/>
  <c r="F38" i="1"/>
  <c r="G69" i="1"/>
  <c r="G158" i="1"/>
  <c r="F161" i="1"/>
  <c r="G154" i="1"/>
  <c r="F86" i="1"/>
  <c r="G85" i="1"/>
  <c r="F77" i="1"/>
  <c r="F138" i="1"/>
  <c r="F80" i="1"/>
  <c r="F29" i="1"/>
  <c r="F124" i="1"/>
  <c r="F136" i="1"/>
  <c r="G94" i="1"/>
  <c r="F174" i="1"/>
  <c r="G180" i="1"/>
  <c r="G114" i="1"/>
  <c r="F178" i="1"/>
  <c r="G90" i="1"/>
  <c r="G62" i="1"/>
  <c r="F89" i="1"/>
  <c r="F115" i="1"/>
  <c r="F46" i="1"/>
  <c r="G122" i="1"/>
  <c r="G26" i="1"/>
  <c r="G84" i="1"/>
  <c r="F58" i="1"/>
  <c r="F146" i="1"/>
  <c r="G155" i="1"/>
  <c r="G145" i="1"/>
  <c r="F66" i="1"/>
  <c r="G68" i="1"/>
  <c r="G106" i="1"/>
  <c r="F41" i="1"/>
  <c r="F67" i="1"/>
  <c r="G133" i="1"/>
  <c r="F113" i="1"/>
  <c r="G123" i="1"/>
  <c r="G75" i="1"/>
  <c r="G86" i="1"/>
  <c r="G56" i="1"/>
  <c r="G161" i="1"/>
  <c r="F132" i="1"/>
  <c r="G39" i="1"/>
  <c r="F154" i="1"/>
  <c r="F177" i="1"/>
  <c r="G175" i="1"/>
  <c r="G17" i="1"/>
  <c r="G128" i="1"/>
  <c r="G72" i="1"/>
  <c r="G176" i="1"/>
  <c r="F8" i="1"/>
  <c r="F75" i="1"/>
  <c r="F45" i="1"/>
  <c r="F23" i="1"/>
  <c r="F27" i="1"/>
  <c r="G51" i="1"/>
  <c r="F108" i="1"/>
  <c r="G167" i="1"/>
  <c r="G63" i="1"/>
  <c r="F10" i="1"/>
  <c r="F6" i="1"/>
  <c r="G65" i="1"/>
  <c r="F81" i="1"/>
  <c r="F87" i="1"/>
  <c r="G16" i="1"/>
  <c r="G42" i="1"/>
  <c r="F173" i="1"/>
  <c r="G95" i="1"/>
  <c r="G9" i="1"/>
  <c r="F63" i="1"/>
  <c r="G5" i="1"/>
  <c r="F142" i="1"/>
  <c r="F103" i="1"/>
  <c r="G7" i="1"/>
  <c r="F116" i="1"/>
  <c r="G83" i="1"/>
  <c r="G2" i="1"/>
  <c r="F48" i="1"/>
  <c r="G162" i="1"/>
  <c r="G148" i="1"/>
  <c r="F20" i="1"/>
  <c r="F49" i="1"/>
  <c r="G25" i="1"/>
  <c r="F163" i="1"/>
  <c r="F155" i="1"/>
  <c r="G171" i="1"/>
  <c r="G61" i="1"/>
  <c r="F141" i="1"/>
  <c r="F65" i="1"/>
  <c r="G97" i="1"/>
  <c r="G50" i="1"/>
  <c r="F40" i="1"/>
  <c r="G152" i="1"/>
  <c r="G34" i="1"/>
  <c r="F9" i="1"/>
  <c r="F102" i="1"/>
  <c r="F91" i="1"/>
  <c r="F84" i="1"/>
  <c r="G113" i="1"/>
  <c r="F106" i="1"/>
  <c r="G12" i="1"/>
  <c r="G21" i="1"/>
  <c r="G157" i="1"/>
  <c r="G109" i="1"/>
  <c r="G64" i="1"/>
  <c r="G181" i="1"/>
  <c r="G119" i="1"/>
  <c r="F105" i="1"/>
  <c r="G177" i="1"/>
  <c r="G47" i="1"/>
  <c r="G108" i="1"/>
  <c r="F15" i="1"/>
  <c r="G30" i="1"/>
  <c r="F50" i="1"/>
  <c r="F111" i="1"/>
  <c r="F119" i="1"/>
  <c r="F128" i="1"/>
  <c r="G40" i="1"/>
  <c r="F24" i="1"/>
  <c r="G136" i="1"/>
  <c r="G54" i="1"/>
  <c r="F175" i="1"/>
  <c r="F37" i="1"/>
  <c r="G137" i="1"/>
  <c r="G67" i="1"/>
  <c r="F184" i="1"/>
  <c r="G165" i="1"/>
  <c r="G33" i="1"/>
  <c r="F60" i="1"/>
  <c r="G150" i="1"/>
  <c r="G77" i="1"/>
  <c r="G96" i="1"/>
  <c r="G156" i="1"/>
  <c r="F83" i="1"/>
  <c r="F12" i="1"/>
  <c r="F99" i="1"/>
  <c r="F88" i="1"/>
  <c r="G110" i="1"/>
  <c r="G29" i="1"/>
  <c r="G55" i="1"/>
  <c r="G89" i="1"/>
  <c r="F118" i="1"/>
  <c r="F112" i="1"/>
  <c r="G144" i="1"/>
  <c r="G11" i="1"/>
  <c r="G27" i="1"/>
  <c r="F43" i="1"/>
  <c r="F167" i="1"/>
  <c r="F92" i="1"/>
  <c r="F133" i="1"/>
  <c r="F135" i="1"/>
  <c r="G31" i="1"/>
  <c r="G100" i="1"/>
  <c r="F17" i="1"/>
  <c r="G80" i="1"/>
  <c r="F73" i="1"/>
  <c r="G10" i="1"/>
  <c r="F139" i="1"/>
  <c r="F72" i="1"/>
  <c r="G71" i="1"/>
  <c r="F97" i="1"/>
  <c r="G76" i="1"/>
  <c r="G117" i="1"/>
  <c r="G79" i="1"/>
  <c r="G13" i="1"/>
  <c r="G70" i="1"/>
  <c r="F78" i="1"/>
  <c r="G44" i="1"/>
  <c r="F181" i="1"/>
  <c r="F101" i="1"/>
  <c r="G139" i="1"/>
  <c r="F157" i="1"/>
  <c r="F120" i="1"/>
  <c r="F137" i="1"/>
  <c r="G52" i="1"/>
  <c r="F152" i="1"/>
  <c r="G41" i="1"/>
  <c r="F110" i="1"/>
  <c r="G170" i="1"/>
  <c r="F64" i="1"/>
  <c r="F129" i="1"/>
  <c r="F114" i="1"/>
  <c r="G183" i="1"/>
  <c r="G48" i="1"/>
  <c r="G149" i="1"/>
  <c r="G91" i="1"/>
  <c r="F25" i="1"/>
  <c r="F5" i="1"/>
  <c r="G147" i="1"/>
  <c r="G37" i="1"/>
  <c r="F34" i="1"/>
  <c r="F172" i="1"/>
  <c r="F26" i="1"/>
  <c r="G6" i="1"/>
  <c r="G174" i="1"/>
  <c r="G178" i="1"/>
  <c r="G105" i="1"/>
  <c r="F53" i="1"/>
  <c r="G78" i="1"/>
  <c r="G46" i="1"/>
  <c r="F95" i="1"/>
  <c r="F176" i="1"/>
  <c r="F179" i="1"/>
  <c r="G15" i="1"/>
  <c r="G81" i="1"/>
  <c r="G126" i="1"/>
  <c r="F151" i="1"/>
  <c r="G102" i="1"/>
  <c r="G8" i="1"/>
  <c r="F148" i="1"/>
  <c r="F109" i="1"/>
  <c r="G172" i="1"/>
  <c r="G60" i="1"/>
  <c r="G101" i="1"/>
  <c r="F19" i="1"/>
  <c r="F104" i="1"/>
  <c r="F150" i="1"/>
  <c r="F54" i="1"/>
  <c r="F13" i="1"/>
  <c r="G182" i="1"/>
  <c r="G173" i="1"/>
  <c r="G57" i="1"/>
  <c r="F134" i="1"/>
  <c r="G98" i="1"/>
  <c r="F30" i="1"/>
  <c r="F21" i="1"/>
  <c r="F57" i="1"/>
  <c r="G184" i="1"/>
  <c r="F16" i="1"/>
  <c r="F168" i="1"/>
  <c r="F125" i="1"/>
  <c r="G151" i="1"/>
  <c r="F51" i="1"/>
  <c r="G36" i="1"/>
  <c r="G129" i="1"/>
  <c r="G59" i="1"/>
  <c r="F93" i="1"/>
  <c r="F165" i="1"/>
  <c r="F3" i="1"/>
  <c r="G164" i="1"/>
  <c r="F159" i="1"/>
  <c r="F94" i="1"/>
  <c r="G49" i="1"/>
  <c r="F4" i="1"/>
  <c r="F160" i="1"/>
  <c r="F164" i="1"/>
  <c r="G58" i="1"/>
  <c r="G163" i="1"/>
  <c r="F35" i="1"/>
  <c r="G131" i="1"/>
  <c r="F96" i="1"/>
  <c r="G35" i="1"/>
  <c r="F69" i="1"/>
  <c r="F98" i="1"/>
  <c r="F28" i="1"/>
  <c r="G14" i="1"/>
  <c r="F31" i="1"/>
  <c r="F158" i="1"/>
  <c r="F107" i="1"/>
  <c r="F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<sst xmlns="http://schemas.openxmlformats.org/spreadsheetml/2006/main" count="19" uniqueCount="18">
  <si>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Vcm</t>
  </si>
  <si>
    <t>Vcm_min</t>
  </si>
  <si>
    <t>Vcm_max</t>
  </si>
  <si>
    <t>time</t>
  </si>
  <si>
    <t>Avdd</t>
  </si>
  <si>
    <t>Avss</t>
  </si>
  <si>
    <t>G</t>
  </si>
  <si>
    <t>Vmax_diff</t>
  </si>
  <si>
    <t>Vdiff</t>
  </si>
  <si>
    <t>Offset</t>
  </si>
  <si>
    <t>Vampl</t>
  </si>
  <si>
    <t>! Gilt hier wirklich absolut wert?</t>
  </si>
  <si>
    <t>Des Vinp Signals</t>
  </si>
  <si>
    <t>Vref</t>
  </si>
  <si>
    <t>Vin_min</t>
  </si>
  <si>
    <t>Vin_max</t>
  </si>
  <si>
    <t>VinN</t>
  </si>
  <si>
    <t>VinP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</si>
</sst>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VinP</c:v>
                </c:pt>
              </c:strCache>
            </c:strRef>
          </c:tx>
          <c:spPr>
            <a:ln w="12700" cap="rnd">
              <a:solidFill>
                <a:schemeClr val="accent5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Tabelle1!$B$2:$B$184</c:f>
              <c:numCache>
                <c:formatCode>General</c:formatCode>
                <c:ptCount val="183"/>
                <c:pt idx="0">
                  <c:v>2.6255810390586269</c:v>
                </c:pt>
                <c:pt idx="1">
                  <c:v>2.7506664671286085</c:v>
                </c:pt>
                <c:pt idx="2">
                  <c:v>2.8747626291714492</c:v>
                </c:pt>
                <c:pt idx="3">
                  <c:v>2.9973797743297097</c:v>
                </c:pt>
                <c:pt idx="4">
                  <c:v>3.1180339887498949</c:v>
                </c:pt>
                <c:pt idx="5">
                  <c:v>3.2362491053693558</c:v>
                </c:pt>
                <c:pt idx="6">
                  <c:v>3.3515585831301453</c:v>
                </c:pt>
                <c:pt idx="7">
                  <c:v>3.4635073482034304</c:v>
                </c:pt>
                <c:pt idx="8">
                  <c:v>3.5716535899579931</c:v>
                </c:pt>
                <c:pt idx="9">
                  <c:v>3.6755705045849463</c:v>
                </c:pt>
                <c:pt idx="10">
                  <c:v>3.7748479794973795</c:v>
                </c:pt>
                <c:pt idx="11">
                  <c:v>3.8690942118573775</c:v>
                </c:pt>
                <c:pt idx="12">
                  <c:v>3.9579372548428231</c:v>
                </c:pt>
                <c:pt idx="13">
                  <c:v>4.0410264855515781</c:v>
                </c:pt>
                <c:pt idx="14">
                  <c:v>4.1180339887498949</c:v>
                </c:pt>
                <c:pt idx="15">
                  <c:v>4.1886558510040306</c:v>
                </c:pt>
                <c:pt idx="16">
                  <c:v>4.2526133600877269</c:v>
                </c:pt>
                <c:pt idx="17">
                  <c:v>4.3096541049320392</c:v>
                </c:pt>
                <c:pt idx="18">
                  <c:v>4.3595529717765027</c:v>
                </c:pt>
                <c:pt idx="19">
                  <c:v>4.4021130325903073</c:v>
                </c:pt>
                <c:pt idx="20">
                  <c:v>4.4371663222572622</c:v>
                </c:pt>
                <c:pt idx="21">
                  <c:v>4.4645745014573777</c:v>
                </c:pt>
                <c:pt idx="22">
                  <c:v>4.484229402628956</c:v>
                </c:pt>
                <c:pt idx="23">
                  <c:v>4.4960534568565436</c:v>
                </c:pt>
                <c:pt idx="24">
                  <c:v>4.5</c:v>
                </c:pt>
                <c:pt idx="25">
                  <c:v>4.4960534568565436</c:v>
                </c:pt>
                <c:pt idx="26">
                  <c:v>4.4842294026289551</c:v>
                </c:pt>
                <c:pt idx="27">
                  <c:v>4.4645745014573777</c:v>
                </c:pt>
                <c:pt idx="28">
                  <c:v>4.4371663222572622</c:v>
                </c:pt>
                <c:pt idx="29">
                  <c:v>4.4021130325903073</c:v>
                </c:pt>
                <c:pt idx="30">
                  <c:v>4.3595529717765027</c:v>
                </c:pt>
                <c:pt idx="31">
                  <c:v>4.3096541049320392</c:v>
                </c:pt>
                <c:pt idx="32">
                  <c:v>4.2526133600877269</c:v>
                </c:pt>
                <c:pt idx="33">
                  <c:v>4.1886558510040297</c:v>
                </c:pt>
                <c:pt idx="34">
                  <c:v>4.1180339887498949</c:v>
                </c:pt>
                <c:pt idx="35">
                  <c:v>4.0410264855515781</c:v>
                </c:pt>
                <c:pt idx="36">
                  <c:v>3.9579372548428227</c:v>
                </c:pt>
                <c:pt idx="37">
                  <c:v>3.8690942118573775</c:v>
                </c:pt>
                <c:pt idx="38">
                  <c:v>3.7748479794973795</c:v>
                </c:pt>
                <c:pt idx="39">
                  <c:v>3.6755705045849467</c:v>
                </c:pt>
                <c:pt idx="40">
                  <c:v>3.571653589957994</c:v>
                </c:pt>
                <c:pt idx="41">
                  <c:v>3.4635073482034313</c:v>
                </c:pt>
                <c:pt idx="42">
                  <c:v>3.3515585831301458</c:v>
                </c:pt>
                <c:pt idx="43">
                  <c:v>3.2362491053693563</c:v>
                </c:pt>
                <c:pt idx="44">
                  <c:v>3.1180339887498949</c:v>
                </c:pt>
                <c:pt idx="45">
                  <c:v>2.9973797743297097</c:v>
                </c:pt>
                <c:pt idx="46">
                  <c:v>2.8747626291714501</c:v>
                </c:pt>
                <c:pt idx="47">
                  <c:v>2.750666467128609</c:v>
                </c:pt>
                <c:pt idx="48">
                  <c:v>2.6255810390586269</c:v>
                </c:pt>
                <c:pt idx="49">
                  <c:v>2.5000000000000004</c:v>
                </c:pt>
                <c:pt idx="50">
                  <c:v>2.3744189609413735</c:v>
                </c:pt>
                <c:pt idx="51">
                  <c:v>2.2493335328713915</c:v>
                </c:pt>
                <c:pt idx="52">
                  <c:v>2.1252373708285504</c:v>
                </c:pt>
                <c:pt idx="53">
                  <c:v>2.0026202256702899</c:v>
                </c:pt>
                <c:pt idx="54">
                  <c:v>1.8819660112501047</c:v>
                </c:pt>
                <c:pt idx="55">
                  <c:v>1.7637508946306433</c:v>
                </c:pt>
                <c:pt idx="56">
                  <c:v>1.6484414168698556</c:v>
                </c:pt>
                <c:pt idx="57">
                  <c:v>1.53649265179657</c:v>
                </c:pt>
                <c:pt idx="58">
                  <c:v>1.4283464100420071</c:v>
                </c:pt>
                <c:pt idx="59">
                  <c:v>1.3244294954150539</c:v>
                </c:pt>
                <c:pt idx="60">
                  <c:v>1.2251520205026207</c:v>
                </c:pt>
                <c:pt idx="61">
                  <c:v>1.1309057881426225</c:v>
                </c:pt>
                <c:pt idx="62">
                  <c:v>1.0420627451571773</c:v>
                </c:pt>
                <c:pt idx="63">
                  <c:v>0.95897351444842127</c:v>
                </c:pt>
                <c:pt idx="64">
                  <c:v>0.88196601125010532</c:v>
                </c:pt>
                <c:pt idx="65">
                  <c:v>0.81134414899596941</c:v>
                </c:pt>
                <c:pt idx="66">
                  <c:v>0.74738663991227283</c:v>
                </c:pt>
                <c:pt idx="67">
                  <c:v>0.6903458950679604</c:v>
                </c:pt>
                <c:pt idx="68">
                  <c:v>0.64044702822349775</c:v>
                </c:pt>
                <c:pt idx="69">
                  <c:v>0.59788696740969294</c:v>
                </c:pt>
                <c:pt idx="70">
                  <c:v>0.56283367774273807</c:v>
                </c:pt>
                <c:pt idx="71">
                  <c:v>0.53542549854262256</c:v>
                </c:pt>
                <c:pt idx="72">
                  <c:v>0.51577059737104447</c:v>
                </c:pt>
                <c:pt idx="73">
                  <c:v>0.50394654314345688</c:v>
                </c:pt>
                <c:pt idx="74">
                  <c:v>0.5</c:v>
                </c:pt>
                <c:pt idx="75">
                  <c:v>0.50394654314345688</c:v>
                </c:pt>
                <c:pt idx="76">
                  <c:v>0.51577059737104425</c:v>
                </c:pt>
                <c:pt idx="77">
                  <c:v>0.53542549854262256</c:v>
                </c:pt>
                <c:pt idx="78">
                  <c:v>0.56283367774273785</c:v>
                </c:pt>
                <c:pt idx="79">
                  <c:v>0.59788696740969272</c:v>
                </c:pt>
                <c:pt idx="80">
                  <c:v>0.64044702822349753</c:v>
                </c:pt>
                <c:pt idx="81">
                  <c:v>0.69034589506796018</c:v>
                </c:pt>
                <c:pt idx="82">
                  <c:v>0.74738663991227239</c:v>
                </c:pt>
                <c:pt idx="83">
                  <c:v>0.81134414899596896</c:v>
                </c:pt>
                <c:pt idx="84">
                  <c:v>0.88196601125010488</c:v>
                </c:pt>
                <c:pt idx="85">
                  <c:v>0.95897351444842083</c:v>
                </c:pt>
                <c:pt idx="86">
                  <c:v>1.0420627451571769</c:v>
                </c:pt>
                <c:pt idx="87">
                  <c:v>1.1309057881426221</c:v>
                </c:pt>
                <c:pt idx="88">
                  <c:v>1.2251520205026207</c:v>
                </c:pt>
                <c:pt idx="89">
                  <c:v>1.3244294954150533</c:v>
                </c:pt>
                <c:pt idx="90">
                  <c:v>1.4283464100420074</c:v>
                </c:pt>
                <c:pt idx="91">
                  <c:v>1.5364926517965694</c:v>
                </c:pt>
                <c:pt idx="92">
                  <c:v>1.6484414168698556</c:v>
                </c:pt>
                <c:pt idx="93">
                  <c:v>1.7637508946306426</c:v>
                </c:pt>
                <c:pt idx="94">
                  <c:v>1.8819660112501047</c:v>
                </c:pt>
                <c:pt idx="95">
                  <c:v>2.0026202256702894</c:v>
                </c:pt>
                <c:pt idx="96">
                  <c:v>2.1252373708285508</c:v>
                </c:pt>
                <c:pt idx="97">
                  <c:v>2.2493335328713906</c:v>
                </c:pt>
                <c:pt idx="98">
                  <c:v>2.3744189609413735</c:v>
                </c:pt>
                <c:pt idx="99">
                  <c:v>2.4999999999999996</c:v>
                </c:pt>
                <c:pt idx="100">
                  <c:v>2.6255810390586256</c:v>
                </c:pt>
                <c:pt idx="101">
                  <c:v>2.7506664671286085</c:v>
                </c:pt>
                <c:pt idx="102">
                  <c:v>2.8747626291714483</c:v>
                </c:pt>
                <c:pt idx="103">
                  <c:v>2.9973797743297097</c:v>
                </c:pt>
                <c:pt idx="104">
                  <c:v>3.1180339887498945</c:v>
                </c:pt>
                <c:pt idx="105">
                  <c:v>3.2362491053693563</c:v>
                </c:pt>
                <c:pt idx="106">
                  <c:v>3.3515585831301449</c:v>
                </c:pt>
                <c:pt idx="107">
                  <c:v>3.4635073482034313</c:v>
                </c:pt>
                <c:pt idx="108">
                  <c:v>3.5716535899579931</c:v>
                </c:pt>
                <c:pt idx="109">
                  <c:v>3.6755705045849472</c:v>
                </c:pt>
                <c:pt idx="110">
                  <c:v>3.7748479794973795</c:v>
                </c:pt>
                <c:pt idx="111">
                  <c:v>3.8690942118573783</c:v>
                </c:pt>
                <c:pt idx="112">
                  <c:v>3.9579372548428209</c:v>
                </c:pt>
                <c:pt idx="113">
                  <c:v>4.0410264855515772</c:v>
                </c:pt>
                <c:pt idx="114">
                  <c:v>4.1180339887498931</c:v>
                </c:pt>
                <c:pt idx="115">
                  <c:v>4.1886558510040297</c:v>
                </c:pt>
                <c:pt idx="116">
                  <c:v>4.2526133600877261</c:v>
                </c:pt>
                <c:pt idx="117">
                  <c:v>4.3096541049320383</c:v>
                </c:pt>
                <c:pt idx="118">
                  <c:v>4.3595529717765018</c:v>
                </c:pt>
                <c:pt idx="119">
                  <c:v>4.4021130325903073</c:v>
                </c:pt>
                <c:pt idx="120">
                  <c:v>4.4371663222572622</c:v>
                </c:pt>
                <c:pt idx="121">
                  <c:v>4.4645745014573777</c:v>
                </c:pt>
                <c:pt idx="122">
                  <c:v>4.4842294026289551</c:v>
                </c:pt>
                <c:pt idx="123">
                  <c:v>4.4960534568565436</c:v>
                </c:pt>
                <c:pt idx="124">
                  <c:v>4.5</c:v>
                </c:pt>
                <c:pt idx="125">
                  <c:v>4.4960534568565436</c:v>
                </c:pt>
                <c:pt idx="126">
                  <c:v>4.484229402628956</c:v>
                </c:pt>
                <c:pt idx="127">
                  <c:v>4.4645745014573777</c:v>
                </c:pt>
                <c:pt idx="128">
                  <c:v>4.4371663222572622</c:v>
                </c:pt>
                <c:pt idx="129">
                  <c:v>4.4021130325903073</c:v>
                </c:pt>
                <c:pt idx="130">
                  <c:v>4.3595529717765036</c:v>
                </c:pt>
                <c:pt idx="131">
                  <c:v>4.3096541049320383</c:v>
                </c:pt>
                <c:pt idx="132">
                  <c:v>4.2526133600877269</c:v>
                </c:pt>
                <c:pt idx="133">
                  <c:v>4.1886558510040306</c:v>
                </c:pt>
                <c:pt idx="134">
                  <c:v>4.1180339887498949</c:v>
                </c:pt>
                <c:pt idx="135">
                  <c:v>4.0410264855515772</c:v>
                </c:pt>
                <c:pt idx="136">
                  <c:v>3.9579372548428218</c:v>
                </c:pt>
                <c:pt idx="137">
                  <c:v>3.8690942118573792</c:v>
                </c:pt>
                <c:pt idx="138">
                  <c:v>3.7748479794973822</c:v>
                </c:pt>
                <c:pt idx="139">
                  <c:v>3.6755705045849467</c:v>
                </c:pt>
                <c:pt idx="140">
                  <c:v>3.5716535899579944</c:v>
                </c:pt>
                <c:pt idx="141">
                  <c:v>3.4635073482034322</c:v>
                </c:pt>
                <c:pt idx="142">
                  <c:v>3.351558583130148</c:v>
                </c:pt>
                <c:pt idx="143">
                  <c:v>3.2362491053693558</c:v>
                </c:pt>
                <c:pt idx="144">
                  <c:v>3.1180339887498958</c:v>
                </c:pt>
                <c:pt idx="145">
                  <c:v>2.997379774329711</c:v>
                </c:pt>
                <c:pt idx="146">
                  <c:v>2.8747626291714514</c:v>
                </c:pt>
                <c:pt idx="147">
                  <c:v>2.7506664671286076</c:v>
                </c:pt>
                <c:pt idx="148">
                  <c:v>2.6255810390586269</c:v>
                </c:pt>
                <c:pt idx="149">
                  <c:v>2.5000000000000009</c:v>
                </c:pt>
                <c:pt idx="150">
                  <c:v>2.3744189609413748</c:v>
                </c:pt>
                <c:pt idx="151">
                  <c:v>2.2493335328713937</c:v>
                </c:pt>
                <c:pt idx="152">
                  <c:v>2.1252373708285499</c:v>
                </c:pt>
                <c:pt idx="153">
                  <c:v>2.0026202256702903</c:v>
                </c:pt>
                <c:pt idx="154">
                  <c:v>1.881966011250106</c:v>
                </c:pt>
                <c:pt idx="155">
                  <c:v>1.7637508946306455</c:v>
                </c:pt>
                <c:pt idx="156">
                  <c:v>1.6484414168698533</c:v>
                </c:pt>
                <c:pt idx="157">
                  <c:v>1.5364926517965689</c:v>
                </c:pt>
                <c:pt idx="158">
                  <c:v>1.4283464100420069</c:v>
                </c:pt>
                <c:pt idx="159">
                  <c:v>1.3244294954150544</c:v>
                </c:pt>
                <c:pt idx="160">
                  <c:v>1.225152020502619</c:v>
                </c:pt>
                <c:pt idx="161">
                  <c:v>1.1309057881426217</c:v>
                </c:pt>
                <c:pt idx="162">
                  <c:v>1.0420627451571789</c:v>
                </c:pt>
                <c:pt idx="163">
                  <c:v>0.95897351444842394</c:v>
                </c:pt>
                <c:pt idx="164">
                  <c:v>0.88196601125010554</c:v>
                </c:pt>
                <c:pt idx="165">
                  <c:v>0.81134414899597074</c:v>
                </c:pt>
                <c:pt idx="166">
                  <c:v>0.74738663991227394</c:v>
                </c:pt>
                <c:pt idx="167">
                  <c:v>0.69034589506796218</c:v>
                </c:pt>
                <c:pt idx="168">
                  <c:v>0.64044702822349731</c:v>
                </c:pt>
                <c:pt idx="169">
                  <c:v>0.59788696740969316</c:v>
                </c:pt>
                <c:pt idx="170">
                  <c:v>0.56283367774273807</c:v>
                </c:pt>
                <c:pt idx="171">
                  <c:v>0.535425498542623</c:v>
                </c:pt>
                <c:pt idx="172">
                  <c:v>0.51577059737104425</c:v>
                </c:pt>
                <c:pt idx="173">
                  <c:v>0.50394654314345688</c:v>
                </c:pt>
                <c:pt idx="174">
                  <c:v>0.5</c:v>
                </c:pt>
                <c:pt idx="175">
                  <c:v>0.50394654314345688</c:v>
                </c:pt>
                <c:pt idx="176">
                  <c:v>0.51577059737104403</c:v>
                </c:pt>
                <c:pt idx="177">
                  <c:v>0.53542549854262278</c:v>
                </c:pt>
                <c:pt idx="178">
                  <c:v>0.56283367774273763</c:v>
                </c:pt>
                <c:pt idx="179">
                  <c:v>0.59788696740969249</c:v>
                </c:pt>
                <c:pt idx="180">
                  <c:v>0.64044702822349664</c:v>
                </c:pt>
                <c:pt idx="181">
                  <c:v>0.69034589506796151</c:v>
                </c:pt>
                <c:pt idx="182">
                  <c:v>0.74738663991227305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3-418C-9E6A-B15F11F6B30A}"/>
            </c:ext>
          </c:extLst>
        </c:ser>
        <c:ser>
          <c:idx val="1"/>
          <c:order val="1"/>
          <c:tx>
            <c:strRef>
              <c:f>Tabelle1!$C$1</c:f>
              <c:strCache>
                <c:ptCount val="1"/>
                <c:pt idx="0">
                  <c:v>VinN</c:v>
                </c:pt>
              </c:strCache>
            </c:strRef>
          </c:tx>
          <c:spPr>
            <a:ln w="12700" cap="rnd">
              <a:solidFill>
                <a:schemeClr val="accent5">
                  <a:lumMod val="60000"/>
                  <a:lumOff val="40000"/>
                  <a:alpha val="3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Tabelle1!$C$2:$C$184</c:f>
              <c:numCache>
                <c:formatCode>General</c:formatCode>
                <c:ptCount val="18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2.5</c:v>
                </c:pt>
                <c:pt idx="66">
                  <c:v>2.5</c:v>
                </c:pt>
                <c:pt idx="67">
                  <c:v>2.5</c:v>
                </c:pt>
                <c:pt idx="68">
                  <c:v>2.5</c:v>
                </c:pt>
                <c:pt idx="69">
                  <c:v>2.5</c:v>
                </c:pt>
                <c:pt idx="70">
                  <c:v>2.5</c:v>
                </c:pt>
                <c:pt idx="71">
                  <c:v>2.5</c:v>
                </c:pt>
                <c:pt idx="72">
                  <c:v>2.5</c:v>
                </c:pt>
                <c:pt idx="73">
                  <c:v>2.5</c:v>
                </c:pt>
                <c:pt idx="74">
                  <c:v>2.5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2.5</c:v>
                </c:pt>
                <c:pt idx="80">
                  <c:v>2.5</c:v>
                </c:pt>
                <c:pt idx="81">
                  <c:v>2.5</c:v>
                </c:pt>
                <c:pt idx="82">
                  <c:v>2.5</c:v>
                </c:pt>
                <c:pt idx="83">
                  <c:v>2.5</c:v>
                </c:pt>
                <c:pt idx="84">
                  <c:v>2.5</c:v>
                </c:pt>
                <c:pt idx="85">
                  <c:v>2.5</c:v>
                </c:pt>
                <c:pt idx="86">
                  <c:v>2.5</c:v>
                </c:pt>
                <c:pt idx="87">
                  <c:v>2.5</c:v>
                </c:pt>
                <c:pt idx="88">
                  <c:v>2.5</c:v>
                </c:pt>
                <c:pt idx="89">
                  <c:v>2.5</c:v>
                </c:pt>
                <c:pt idx="90">
                  <c:v>2.5</c:v>
                </c:pt>
                <c:pt idx="91">
                  <c:v>2.5</c:v>
                </c:pt>
                <c:pt idx="92">
                  <c:v>2.5</c:v>
                </c:pt>
                <c:pt idx="93">
                  <c:v>2.5</c:v>
                </c:pt>
                <c:pt idx="94">
                  <c:v>2.5</c:v>
                </c:pt>
                <c:pt idx="95">
                  <c:v>2.5</c:v>
                </c:pt>
                <c:pt idx="96">
                  <c:v>2.5</c:v>
                </c:pt>
                <c:pt idx="97">
                  <c:v>2.5</c:v>
                </c:pt>
                <c:pt idx="98">
                  <c:v>2.5</c:v>
                </c:pt>
                <c:pt idx="99">
                  <c:v>2.5</c:v>
                </c:pt>
                <c:pt idx="100">
                  <c:v>2.5</c:v>
                </c:pt>
                <c:pt idx="101">
                  <c:v>2.5</c:v>
                </c:pt>
                <c:pt idx="102">
                  <c:v>2.5</c:v>
                </c:pt>
                <c:pt idx="103">
                  <c:v>2.5</c:v>
                </c:pt>
                <c:pt idx="104">
                  <c:v>2.5</c:v>
                </c:pt>
                <c:pt idx="105">
                  <c:v>2.5</c:v>
                </c:pt>
                <c:pt idx="106">
                  <c:v>2.5</c:v>
                </c:pt>
                <c:pt idx="107">
                  <c:v>2.5</c:v>
                </c:pt>
                <c:pt idx="108">
                  <c:v>2.5</c:v>
                </c:pt>
                <c:pt idx="109">
                  <c:v>2.5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</c:v>
                </c:pt>
                <c:pt idx="114">
                  <c:v>2.5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2.5</c:v>
                </c:pt>
                <c:pt idx="122">
                  <c:v>2.5</c:v>
                </c:pt>
                <c:pt idx="123">
                  <c:v>2.5</c:v>
                </c:pt>
                <c:pt idx="124">
                  <c:v>2.5</c:v>
                </c:pt>
                <c:pt idx="125">
                  <c:v>2.5</c:v>
                </c:pt>
                <c:pt idx="126">
                  <c:v>2.5</c:v>
                </c:pt>
                <c:pt idx="127">
                  <c:v>2.5</c:v>
                </c:pt>
                <c:pt idx="128">
                  <c:v>2.5</c:v>
                </c:pt>
                <c:pt idx="129">
                  <c:v>2.5</c:v>
                </c:pt>
                <c:pt idx="130">
                  <c:v>2.5</c:v>
                </c:pt>
                <c:pt idx="131">
                  <c:v>2.5</c:v>
                </c:pt>
                <c:pt idx="132">
                  <c:v>2.5</c:v>
                </c:pt>
                <c:pt idx="133">
                  <c:v>2.5</c:v>
                </c:pt>
                <c:pt idx="134">
                  <c:v>2.5</c:v>
                </c:pt>
                <c:pt idx="135">
                  <c:v>2.5</c:v>
                </c:pt>
                <c:pt idx="136">
                  <c:v>2.5</c:v>
                </c:pt>
                <c:pt idx="137">
                  <c:v>2.5</c:v>
                </c:pt>
                <c:pt idx="138">
                  <c:v>2.5</c:v>
                </c:pt>
                <c:pt idx="139">
                  <c:v>2.5</c:v>
                </c:pt>
                <c:pt idx="140">
                  <c:v>2.5</c:v>
                </c:pt>
                <c:pt idx="141">
                  <c:v>2.5</c:v>
                </c:pt>
                <c:pt idx="142">
                  <c:v>2.5</c:v>
                </c:pt>
                <c:pt idx="143">
                  <c:v>2.5</c:v>
                </c:pt>
                <c:pt idx="144">
                  <c:v>2.5</c:v>
                </c:pt>
                <c:pt idx="145">
                  <c:v>2.5</c:v>
                </c:pt>
                <c:pt idx="146">
                  <c:v>2.5</c:v>
                </c:pt>
                <c:pt idx="147">
                  <c:v>2.5</c:v>
                </c:pt>
                <c:pt idx="148">
                  <c:v>2.5</c:v>
                </c:pt>
                <c:pt idx="149">
                  <c:v>2.5</c:v>
                </c:pt>
                <c:pt idx="150">
                  <c:v>2.5</c:v>
                </c:pt>
                <c:pt idx="151">
                  <c:v>2.5</c:v>
                </c:pt>
                <c:pt idx="152">
                  <c:v>2.5</c:v>
                </c:pt>
                <c:pt idx="153">
                  <c:v>2.5</c:v>
                </c:pt>
                <c:pt idx="154">
                  <c:v>2.5</c:v>
                </c:pt>
                <c:pt idx="155">
                  <c:v>2.5</c:v>
                </c:pt>
                <c:pt idx="156">
                  <c:v>2.5</c:v>
                </c:pt>
                <c:pt idx="157">
                  <c:v>2.5</c:v>
                </c:pt>
                <c:pt idx="158">
                  <c:v>2.5</c:v>
                </c:pt>
                <c:pt idx="159">
                  <c:v>2.5</c:v>
                </c:pt>
                <c:pt idx="160">
                  <c:v>2.5</c:v>
                </c:pt>
                <c:pt idx="161">
                  <c:v>2.5</c:v>
                </c:pt>
                <c:pt idx="162">
                  <c:v>2.5</c:v>
                </c:pt>
                <c:pt idx="163">
                  <c:v>2.5</c:v>
                </c:pt>
                <c:pt idx="164">
                  <c:v>2.5</c:v>
                </c:pt>
                <c:pt idx="165">
                  <c:v>2.5</c:v>
                </c:pt>
                <c:pt idx="166">
                  <c:v>2.5</c:v>
                </c:pt>
                <c:pt idx="167">
                  <c:v>2.5</c:v>
                </c:pt>
                <c:pt idx="168">
                  <c:v>2.5</c:v>
                </c:pt>
                <c:pt idx="169">
                  <c:v>2.5</c:v>
                </c:pt>
                <c:pt idx="170">
                  <c:v>2.5</c:v>
                </c:pt>
                <c:pt idx="171">
                  <c:v>2.5</c:v>
                </c:pt>
                <c:pt idx="172">
                  <c:v>2.5</c:v>
                </c:pt>
                <c:pt idx="173">
                  <c:v>2.5</c:v>
                </c:pt>
                <c:pt idx="174">
                  <c:v>2.5</c:v>
                </c:pt>
                <c:pt idx="175">
                  <c:v>2.5</c:v>
                </c:pt>
                <c:pt idx="176">
                  <c:v>2.5</c:v>
                </c:pt>
                <c:pt idx="177">
                  <c:v>2.5</c:v>
                </c:pt>
                <c:pt idx="178">
                  <c:v>2.5</c:v>
                </c:pt>
                <c:pt idx="179">
                  <c:v>2.5</c:v>
                </c:pt>
                <c:pt idx="180">
                  <c:v>2.5</c:v>
                </c:pt>
                <c:pt idx="181">
                  <c:v>2.5</c:v>
                </c:pt>
                <c:pt idx="18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53-418C-9E6A-B15F11F6B30A}"/>
            </c:ext>
          </c:extLst>
        </c:ser>
        <c:ser>
          <c:idx val="2"/>
          <c:order val="2"/>
          <c:tx>
            <c:strRef>
              <c:f>Tabelle1!$D$1</c:f>
              <c:strCache>
                <c:ptCount val="1"/>
                <c:pt idx="0">
                  <c:v>Vdiff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Tabelle1!$D$2:$D$184</c:f>
              <c:numCache>
                <c:formatCode>General</c:formatCode>
                <c:ptCount val="183"/>
                <c:pt idx="0">
                  <c:v>0.12558103905862694</c:v>
                </c:pt>
                <c:pt idx="1">
                  <c:v>0.25066646712860852</c:v>
                </c:pt>
                <c:pt idx="2">
                  <c:v>0.3747626291714492</c:v>
                </c:pt>
                <c:pt idx="3">
                  <c:v>0.4973797743297097</c:v>
                </c:pt>
                <c:pt idx="4">
                  <c:v>0.6180339887498949</c:v>
                </c:pt>
                <c:pt idx="5">
                  <c:v>0.73624910536935584</c:v>
                </c:pt>
                <c:pt idx="6">
                  <c:v>0.85155858313014532</c:v>
                </c:pt>
                <c:pt idx="7">
                  <c:v>0.96350734820343042</c:v>
                </c:pt>
                <c:pt idx="8">
                  <c:v>1.0716535899579931</c:v>
                </c:pt>
                <c:pt idx="9">
                  <c:v>1.1755705045849463</c:v>
                </c:pt>
                <c:pt idx="10">
                  <c:v>1.2748479794973795</c:v>
                </c:pt>
                <c:pt idx="11">
                  <c:v>1.3690942118573775</c:v>
                </c:pt>
                <c:pt idx="12">
                  <c:v>1.4579372548428231</c:v>
                </c:pt>
                <c:pt idx="13">
                  <c:v>1.5410264855515781</c:v>
                </c:pt>
                <c:pt idx="14">
                  <c:v>1.6180339887498949</c:v>
                </c:pt>
                <c:pt idx="15">
                  <c:v>1.6886558510040306</c:v>
                </c:pt>
                <c:pt idx="16">
                  <c:v>1.7526133600877269</c:v>
                </c:pt>
                <c:pt idx="17">
                  <c:v>1.8096541049320392</c:v>
                </c:pt>
                <c:pt idx="18">
                  <c:v>1.8595529717765027</c:v>
                </c:pt>
                <c:pt idx="19">
                  <c:v>1.9021130325903073</c:v>
                </c:pt>
                <c:pt idx="20">
                  <c:v>1.9371663222572622</c:v>
                </c:pt>
                <c:pt idx="21">
                  <c:v>1.9645745014573777</c:v>
                </c:pt>
                <c:pt idx="22">
                  <c:v>1.984229402628956</c:v>
                </c:pt>
                <c:pt idx="23">
                  <c:v>1.9960534568565436</c:v>
                </c:pt>
                <c:pt idx="24">
                  <c:v>2</c:v>
                </c:pt>
                <c:pt idx="25">
                  <c:v>1.9960534568565436</c:v>
                </c:pt>
                <c:pt idx="26">
                  <c:v>1.9842294026289551</c:v>
                </c:pt>
                <c:pt idx="27">
                  <c:v>1.9645745014573777</c:v>
                </c:pt>
                <c:pt idx="28">
                  <c:v>1.9371663222572622</c:v>
                </c:pt>
                <c:pt idx="29">
                  <c:v>1.9021130325903073</c:v>
                </c:pt>
                <c:pt idx="30">
                  <c:v>1.8595529717765027</c:v>
                </c:pt>
                <c:pt idx="31">
                  <c:v>1.8096541049320392</c:v>
                </c:pt>
                <c:pt idx="32">
                  <c:v>1.7526133600877269</c:v>
                </c:pt>
                <c:pt idx="33">
                  <c:v>1.6886558510040297</c:v>
                </c:pt>
                <c:pt idx="34">
                  <c:v>1.6180339887498949</c:v>
                </c:pt>
                <c:pt idx="35">
                  <c:v>1.5410264855515781</c:v>
                </c:pt>
                <c:pt idx="36">
                  <c:v>1.4579372548428227</c:v>
                </c:pt>
                <c:pt idx="37">
                  <c:v>1.3690942118573775</c:v>
                </c:pt>
                <c:pt idx="38">
                  <c:v>1.2748479794973795</c:v>
                </c:pt>
                <c:pt idx="39">
                  <c:v>1.1755705045849467</c:v>
                </c:pt>
                <c:pt idx="40">
                  <c:v>1.071653589957994</c:v>
                </c:pt>
                <c:pt idx="41">
                  <c:v>0.96350734820343131</c:v>
                </c:pt>
                <c:pt idx="42">
                  <c:v>0.85155858313014576</c:v>
                </c:pt>
                <c:pt idx="43">
                  <c:v>0.73624910536935628</c:v>
                </c:pt>
                <c:pt idx="44">
                  <c:v>0.6180339887498949</c:v>
                </c:pt>
                <c:pt idx="45">
                  <c:v>0.4973797743297097</c:v>
                </c:pt>
                <c:pt idx="46">
                  <c:v>0.37476262917145009</c:v>
                </c:pt>
                <c:pt idx="47">
                  <c:v>0.25066646712860896</c:v>
                </c:pt>
                <c:pt idx="48">
                  <c:v>0.12558103905862694</c:v>
                </c:pt>
                <c:pt idx="49">
                  <c:v>0</c:v>
                </c:pt>
                <c:pt idx="50">
                  <c:v>-0.1255810390586265</c:v>
                </c:pt>
                <c:pt idx="51">
                  <c:v>-0.25066646712860852</c:v>
                </c:pt>
                <c:pt idx="52">
                  <c:v>-0.37476262917144965</c:v>
                </c:pt>
                <c:pt idx="53">
                  <c:v>-0.49737977432971014</c:v>
                </c:pt>
                <c:pt idx="54">
                  <c:v>-0.61803398874989535</c:v>
                </c:pt>
                <c:pt idx="55">
                  <c:v>-0.73624910536935673</c:v>
                </c:pt>
                <c:pt idx="56">
                  <c:v>-0.85155858313014443</c:v>
                </c:pt>
                <c:pt idx="57">
                  <c:v>-0.96350734820342998</c:v>
                </c:pt>
                <c:pt idx="58">
                  <c:v>-1.0716535899579929</c:v>
                </c:pt>
                <c:pt idx="59">
                  <c:v>-1.1755705045849461</c:v>
                </c:pt>
                <c:pt idx="60">
                  <c:v>-1.2748479794973793</c:v>
                </c:pt>
                <c:pt idx="61">
                  <c:v>-1.3690942118573775</c:v>
                </c:pt>
                <c:pt idx="62">
                  <c:v>-1.4579372548428227</c:v>
                </c:pt>
                <c:pt idx="63">
                  <c:v>-1.5410264855515787</c:v>
                </c:pt>
                <c:pt idx="64">
                  <c:v>-1.6180339887498947</c:v>
                </c:pt>
                <c:pt idx="65">
                  <c:v>-1.6886558510040306</c:v>
                </c:pt>
                <c:pt idx="66">
                  <c:v>-1.7526133600877272</c:v>
                </c:pt>
                <c:pt idx="67">
                  <c:v>-1.8096541049320396</c:v>
                </c:pt>
                <c:pt idx="68">
                  <c:v>-1.8595529717765023</c:v>
                </c:pt>
                <c:pt idx="69">
                  <c:v>-1.9021130325903071</c:v>
                </c:pt>
                <c:pt idx="70">
                  <c:v>-1.9371663222572619</c:v>
                </c:pt>
                <c:pt idx="71">
                  <c:v>-1.9645745014573774</c:v>
                </c:pt>
                <c:pt idx="72">
                  <c:v>-1.9842294026289555</c:v>
                </c:pt>
                <c:pt idx="73">
                  <c:v>-1.9960534568565431</c:v>
                </c:pt>
                <c:pt idx="74">
                  <c:v>-2</c:v>
                </c:pt>
                <c:pt idx="75">
                  <c:v>-1.9960534568565431</c:v>
                </c:pt>
                <c:pt idx="76">
                  <c:v>-1.9842294026289558</c:v>
                </c:pt>
                <c:pt idx="77">
                  <c:v>-1.9645745014573774</c:v>
                </c:pt>
                <c:pt idx="78">
                  <c:v>-1.9371663222572622</c:v>
                </c:pt>
                <c:pt idx="79">
                  <c:v>-1.9021130325903073</c:v>
                </c:pt>
                <c:pt idx="80">
                  <c:v>-1.8595529717765025</c:v>
                </c:pt>
                <c:pt idx="81">
                  <c:v>-1.8096541049320398</c:v>
                </c:pt>
                <c:pt idx="82">
                  <c:v>-1.7526133600877276</c:v>
                </c:pt>
                <c:pt idx="83">
                  <c:v>-1.688655851004031</c:v>
                </c:pt>
                <c:pt idx="84">
                  <c:v>-1.6180339887498951</c:v>
                </c:pt>
                <c:pt idx="85">
                  <c:v>-1.5410264855515792</c:v>
                </c:pt>
                <c:pt idx="86">
                  <c:v>-1.4579372548428231</c:v>
                </c:pt>
                <c:pt idx="87">
                  <c:v>-1.3690942118573779</c:v>
                </c:pt>
                <c:pt idx="88">
                  <c:v>-1.2748479794973793</c:v>
                </c:pt>
                <c:pt idx="89">
                  <c:v>-1.1755705045849467</c:v>
                </c:pt>
                <c:pt idx="90">
                  <c:v>-1.0716535899579926</c:v>
                </c:pt>
                <c:pt idx="91">
                  <c:v>-0.96350734820343065</c:v>
                </c:pt>
                <c:pt idx="92">
                  <c:v>-0.85155858313014443</c:v>
                </c:pt>
                <c:pt idx="93">
                  <c:v>-0.73624910536935739</c:v>
                </c:pt>
                <c:pt idx="94">
                  <c:v>-0.61803398874989535</c:v>
                </c:pt>
                <c:pt idx="95">
                  <c:v>-0.49737977432971059</c:v>
                </c:pt>
                <c:pt idx="96">
                  <c:v>-0.3747626291714492</c:v>
                </c:pt>
                <c:pt idx="97">
                  <c:v>-0.2506664671286094</c:v>
                </c:pt>
                <c:pt idx="98">
                  <c:v>-0.1255810390586265</c:v>
                </c:pt>
                <c:pt idx="99">
                  <c:v>0</c:v>
                </c:pt>
                <c:pt idx="100">
                  <c:v>0.12558103905862561</c:v>
                </c:pt>
                <c:pt idx="101">
                  <c:v>0.25066646712860852</c:v>
                </c:pt>
                <c:pt idx="102">
                  <c:v>0.37476262917144831</c:v>
                </c:pt>
                <c:pt idx="103">
                  <c:v>0.4973797743297097</c:v>
                </c:pt>
                <c:pt idx="104">
                  <c:v>0.61803398874989446</c:v>
                </c:pt>
                <c:pt idx="105">
                  <c:v>0.73624910536935628</c:v>
                </c:pt>
                <c:pt idx="106">
                  <c:v>0.85155858313014487</c:v>
                </c:pt>
                <c:pt idx="107">
                  <c:v>0.96350734820343131</c:v>
                </c:pt>
                <c:pt idx="108">
                  <c:v>1.0716535899579931</c:v>
                </c:pt>
                <c:pt idx="109">
                  <c:v>1.1755705045849472</c:v>
                </c:pt>
                <c:pt idx="110">
                  <c:v>1.2748479794973795</c:v>
                </c:pt>
                <c:pt idx="111">
                  <c:v>1.3690942118573783</c:v>
                </c:pt>
                <c:pt idx="112">
                  <c:v>1.4579372548428209</c:v>
                </c:pt>
                <c:pt idx="113">
                  <c:v>1.5410264855515772</c:v>
                </c:pt>
                <c:pt idx="114">
                  <c:v>1.6180339887498931</c:v>
                </c:pt>
                <c:pt idx="115">
                  <c:v>1.6886558510040297</c:v>
                </c:pt>
                <c:pt idx="116">
                  <c:v>1.7526133600877261</c:v>
                </c:pt>
                <c:pt idx="117">
                  <c:v>1.8096541049320383</c:v>
                </c:pt>
                <c:pt idx="118">
                  <c:v>1.8595529717765018</c:v>
                </c:pt>
                <c:pt idx="119">
                  <c:v>1.9021130325903073</c:v>
                </c:pt>
                <c:pt idx="120">
                  <c:v>1.9371663222572622</c:v>
                </c:pt>
                <c:pt idx="121">
                  <c:v>1.9645745014573777</c:v>
                </c:pt>
                <c:pt idx="122">
                  <c:v>1.9842294026289551</c:v>
                </c:pt>
                <c:pt idx="123">
                  <c:v>1.9960534568565436</c:v>
                </c:pt>
                <c:pt idx="124">
                  <c:v>2</c:v>
                </c:pt>
                <c:pt idx="125">
                  <c:v>1.9960534568565436</c:v>
                </c:pt>
                <c:pt idx="126">
                  <c:v>1.984229402628956</c:v>
                </c:pt>
                <c:pt idx="127">
                  <c:v>1.9645745014573777</c:v>
                </c:pt>
                <c:pt idx="128">
                  <c:v>1.9371663222572622</c:v>
                </c:pt>
                <c:pt idx="129">
                  <c:v>1.9021130325903073</c:v>
                </c:pt>
                <c:pt idx="130">
                  <c:v>1.8595529717765036</c:v>
                </c:pt>
                <c:pt idx="131">
                  <c:v>1.8096541049320383</c:v>
                </c:pt>
                <c:pt idx="132">
                  <c:v>1.7526133600877269</c:v>
                </c:pt>
                <c:pt idx="133">
                  <c:v>1.6886558510040306</c:v>
                </c:pt>
                <c:pt idx="134">
                  <c:v>1.6180339887498949</c:v>
                </c:pt>
                <c:pt idx="135">
                  <c:v>1.5410264855515772</c:v>
                </c:pt>
                <c:pt idx="136">
                  <c:v>1.4579372548428218</c:v>
                </c:pt>
                <c:pt idx="137">
                  <c:v>1.3690942118573792</c:v>
                </c:pt>
                <c:pt idx="138">
                  <c:v>1.2748479794973822</c:v>
                </c:pt>
                <c:pt idx="139">
                  <c:v>1.1755705045849467</c:v>
                </c:pt>
                <c:pt idx="140">
                  <c:v>1.0716535899579944</c:v>
                </c:pt>
                <c:pt idx="141">
                  <c:v>0.9635073482034322</c:v>
                </c:pt>
                <c:pt idx="142">
                  <c:v>0.85155858313014798</c:v>
                </c:pt>
                <c:pt idx="143">
                  <c:v>0.73624910536935584</c:v>
                </c:pt>
                <c:pt idx="144">
                  <c:v>0.61803398874989579</c:v>
                </c:pt>
                <c:pt idx="145">
                  <c:v>0.49737977432971103</c:v>
                </c:pt>
                <c:pt idx="146">
                  <c:v>0.37476262917145142</c:v>
                </c:pt>
                <c:pt idx="147">
                  <c:v>0.25066646712860763</c:v>
                </c:pt>
                <c:pt idx="148">
                  <c:v>0.12558103905862694</c:v>
                </c:pt>
                <c:pt idx="149">
                  <c:v>0</c:v>
                </c:pt>
                <c:pt idx="150">
                  <c:v>-0.12558103905862517</c:v>
                </c:pt>
                <c:pt idx="151">
                  <c:v>-0.2506664671286063</c:v>
                </c:pt>
                <c:pt idx="152">
                  <c:v>-0.37476262917145009</c:v>
                </c:pt>
                <c:pt idx="153">
                  <c:v>-0.4973797743297097</c:v>
                </c:pt>
                <c:pt idx="154">
                  <c:v>-0.61803398874989401</c:v>
                </c:pt>
                <c:pt idx="155">
                  <c:v>-0.73624910536935451</c:v>
                </c:pt>
                <c:pt idx="156">
                  <c:v>-0.85155858313014665</c:v>
                </c:pt>
                <c:pt idx="157">
                  <c:v>-0.96350734820343109</c:v>
                </c:pt>
                <c:pt idx="158">
                  <c:v>-1.0716535899579931</c:v>
                </c:pt>
                <c:pt idx="159">
                  <c:v>-1.1755705045849456</c:v>
                </c:pt>
                <c:pt idx="160">
                  <c:v>-1.274847979497381</c:v>
                </c:pt>
                <c:pt idx="161">
                  <c:v>-1.3690942118573783</c:v>
                </c:pt>
                <c:pt idx="162">
                  <c:v>-1.4579372548428211</c:v>
                </c:pt>
                <c:pt idx="163">
                  <c:v>-1.5410264855515761</c:v>
                </c:pt>
                <c:pt idx="164">
                  <c:v>-1.6180339887498945</c:v>
                </c:pt>
                <c:pt idx="165">
                  <c:v>-1.6886558510040293</c:v>
                </c:pt>
                <c:pt idx="166">
                  <c:v>-1.7526133600877261</c:v>
                </c:pt>
                <c:pt idx="167">
                  <c:v>-1.8096541049320378</c:v>
                </c:pt>
                <c:pt idx="168">
                  <c:v>-1.8595529717765027</c:v>
                </c:pt>
                <c:pt idx="169">
                  <c:v>-1.9021130325903068</c:v>
                </c:pt>
                <c:pt idx="170">
                  <c:v>-1.9371663222572619</c:v>
                </c:pt>
                <c:pt idx="171">
                  <c:v>-1.964574501457377</c:v>
                </c:pt>
                <c:pt idx="172">
                  <c:v>-1.9842294026289558</c:v>
                </c:pt>
                <c:pt idx="173">
                  <c:v>-1.9960534568565431</c:v>
                </c:pt>
                <c:pt idx="174">
                  <c:v>-2</c:v>
                </c:pt>
                <c:pt idx="175">
                  <c:v>-1.9960534568565431</c:v>
                </c:pt>
                <c:pt idx="176">
                  <c:v>-1.984229402628956</c:v>
                </c:pt>
                <c:pt idx="177">
                  <c:v>-1.9645745014573772</c:v>
                </c:pt>
                <c:pt idx="178">
                  <c:v>-1.9371663222572624</c:v>
                </c:pt>
                <c:pt idx="179">
                  <c:v>-1.9021130325903075</c:v>
                </c:pt>
                <c:pt idx="180">
                  <c:v>-1.8595529717765034</c:v>
                </c:pt>
                <c:pt idx="181">
                  <c:v>-1.8096541049320385</c:v>
                </c:pt>
                <c:pt idx="182">
                  <c:v>-1.7526133600877269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53-418C-9E6A-B15F11F6B30A}"/>
            </c:ext>
          </c:extLst>
        </c:ser>
        <c:ser>
          <c:idx val="3"/>
          <c:order val="3"/>
          <c:tx>
            <c:strRef>
              <c:f>Tabelle1!$E$1</c:f>
              <c:strCache>
                <c:ptCount val="1"/>
                <c:pt idx="0">
                  <c:v>Vcm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Tabelle1!$E$2:$E$184</c:f>
              <c:numCache>
                <c:formatCode>General</c:formatCode>
                <c:ptCount val="183"/>
                <c:pt idx="0">
                  <c:v>2.5627905195293135</c:v>
                </c:pt>
                <c:pt idx="1">
                  <c:v>2.6253332335643043</c:v>
                </c:pt>
                <c:pt idx="2">
                  <c:v>2.6873813145857248</c:v>
                </c:pt>
                <c:pt idx="3">
                  <c:v>2.7486898871648551</c:v>
                </c:pt>
                <c:pt idx="4">
                  <c:v>2.8090169943749475</c:v>
                </c:pt>
                <c:pt idx="5">
                  <c:v>2.8681245526846779</c:v>
                </c:pt>
                <c:pt idx="6">
                  <c:v>2.9257792915650729</c:v>
                </c:pt>
                <c:pt idx="7">
                  <c:v>2.9817536741017152</c:v>
                </c:pt>
                <c:pt idx="8">
                  <c:v>3.0358267949789965</c:v>
                </c:pt>
                <c:pt idx="9">
                  <c:v>3.0877852522924734</c:v>
                </c:pt>
                <c:pt idx="10">
                  <c:v>3.1374239897486897</c:v>
                </c:pt>
                <c:pt idx="11">
                  <c:v>3.1845471059286887</c:v>
                </c:pt>
                <c:pt idx="12">
                  <c:v>3.2289686274214118</c:v>
                </c:pt>
                <c:pt idx="13">
                  <c:v>3.270513242775789</c:v>
                </c:pt>
                <c:pt idx="14">
                  <c:v>3.3090169943749475</c:v>
                </c:pt>
                <c:pt idx="15">
                  <c:v>3.3443279255020153</c:v>
                </c:pt>
                <c:pt idx="16">
                  <c:v>3.3763066800438635</c:v>
                </c:pt>
                <c:pt idx="17">
                  <c:v>3.4048270524660196</c:v>
                </c:pt>
                <c:pt idx="18">
                  <c:v>3.4297764858882513</c:v>
                </c:pt>
                <c:pt idx="19">
                  <c:v>3.4510565162951536</c:v>
                </c:pt>
                <c:pt idx="20">
                  <c:v>3.4685831611286311</c:v>
                </c:pt>
                <c:pt idx="21">
                  <c:v>3.4822872507286888</c:v>
                </c:pt>
                <c:pt idx="22">
                  <c:v>3.492114701314478</c:v>
                </c:pt>
                <c:pt idx="23">
                  <c:v>3.4980267284282718</c:v>
                </c:pt>
                <c:pt idx="24">
                  <c:v>3.5</c:v>
                </c:pt>
                <c:pt idx="25">
                  <c:v>3.4980267284282718</c:v>
                </c:pt>
                <c:pt idx="26">
                  <c:v>3.4921147013144775</c:v>
                </c:pt>
                <c:pt idx="27">
                  <c:v>3.4822872507286888</c:v>
                </c:pt>
                <c:pt idx="28">
                  <c:v>3.4685831611286311</c:v>
                </c:pt>
                <c:pt idx="29">
                  <c:v>3.4510565162951536</c:v>
                </c:pt>
                <c:pt idx="30">
                  <c:v>3.4297764858882513</c:v>
                </c:pt>
                <c:pt idx="31">
                  <c:v>3.4048270524660196</c:v>
                </c:pt>
                <c:pt idx="32">
                  <c:v>3.3763066800438635</c:v>
                </c:pt>
                <c:pt idx="33">
                  <c:v>3.3443279255020149</c:v>
                </c:pt>
                <c:pt idx="34">
                  <c:v>3.3090169943749475</c:v>
                </c:pt>
                <c:pt idx="35">
                  <c:v>3.270513242775789</c:v>
                </c:pt>
                <c:pt idx="36">
                  <c:v>3.2289686274214113</c:v>
                </c:pt>
                <c:pt idx="37">
                  <c:v>3.1845471059286887</c:v>
                </c:pt>
                <c:pt idx="38">
                  <c:v>3.1374239897486897</c:v>
                </c:pt>
                <c:pt idx="39">
                  <c:v>3.0877852522924734</c:v>
                </c:pt>
                <c:pt idx="40">
                  <c:v>3.035826794978997</c:v>
                </c:pt>
                <c:pt idx="41">
                  <c:v>2.9817536741017157</c:v>
                </c:pt>
                <c:pt idx="42">
                  <c:v>2.9257792915650729</c:v>
                </c:pt>
                <c:pt idx="43">
                  <c:v>2.8681245526846784</c:v>
                </c:pt>
                <c:pt idx="44">
                  <c:v>2.8090169943749475</c:v>
                </c:pt>
                <c:pt idx="45">
                  <c:v>2.7486898871648551</c:v>
                </c:pt>
                <c:pt idx="46">
                  <c:v>2.6873813145857248</c:v>
                </c:pt>
                <c:pt idx="47">
                  <c:v>2.6253332335643043</c:v>
                </c:pt>
                <c:pt idx="48">
                  <c:v>2.5627905195293135</c:v>
                </c:pt>
                <c:pt idx="49">
                  <c:v>2.5</c:v>
                </c:pt>
                <c:pt idx="50">
                  <c:v>2.4372094804706865</c:v>
                </c:pt>
                <c:pt idx="51">
                  <c:v>2.3746667664356957</c:v>
                </c:pt>
                <c:pt idx="52">
                  <c:v>2.3126186854142752</c:v>
                </c:pt>
                <c:pt idx="53">
                  <c:v>2.2513101128351449</c:v>
                </c:pt>
                <c:pt idx="54">
                  <c:v>2.1909830056250525</c:v>
                </c:pt>
                <c:pt idx="55">
                  <c:v>2.1318754473153216</c:v>
                </c:pt>
                <c:pt idx="56">
                  <c:v>2.074220708434928</c:v>
                </c:pt>
                <c:pt idx="57">
                  <c:v>2.0182463258982848</c:v>
                </c:pt>
                <c:pt idx="58">
                  <c:v>1.9641732050210035</c:v>
                </c:pt>
                <c:pt idx="59">
                  <c:v>1.9122147477075271</c:v>
                </c:pt>
                <c:pt idx="60">
                  <c:v>1.8625760102513103</c:v>
                </c:pt>
                <c:pt idx="61">
                  <c:v>1.8154528940713113</c:v>
                </c:pt>
                <c:pt idx="62">
                  <c:v>1.7710313725785887</c:v>
                </c:pt>
                <c:pt idx="63">
                  <c:v>1.7294867572242105</c:v>
                </c:pt>
                <c:pt idx="64">
                  <c:v>1.6909830056250525</c:v>
                </c:pt>
                <c:pt idx="65">
                  <c:v>1.6556720744979847</c:v>
                </c:pt>
                <c:pt idx="66">
                  <c:v>1.6236933199561365</c:v>
                </c:pt>
                <c:pt idx="67">
                  <c:v>1.5951729475339802</c:v>
                </c:pt>
                <c:pt idx="68">
                  <c:v>1.5702235141117489</c:v>
                </c:pt>
                <c:pt idx="69">
                  <c:v>1.5489434837048464</c:v>
                </c:pt>
                <c:pt idx="70">
                  <c:v>1.5314168388713689</c:v>
                </c:pt>
                <c:pt idx="71">
                  <c:v>1.5177127492713112</c:v>
                </c:pt>
                <c:pt idx="72">
                  <c:v>1.5078852986855222</c:v>
                </c:pt>
                <c:pt idx="73">
                  <c:v>1.5019732715717284</c:v>
                </c:pt>
                <c:pt idx="74">
                  <c:v>1.5</c:v>
                </c:pt>
                <c:pt idx="75">
                  <c:v>1.5019732715717284</c:v>
                </c:pt>
                <c:pt idx="76">
                  <c:v>1.507885298685522</c:v>
                </c:pt>
                <c:pt idx="77">
                  <c:v>1.5177127492713112</c:v>
                </c:pt>
                <c:pt idx="78">
                  <c:v>1.5314168388713689</c:v>
                </c:pt>
                <c:pt idx="79">
                  <c:v>1.5489434837048464</c:v>
                </c:pt>
                <c:pt idx="80">
                  <c:v>1.5702235141117487</c:v>
                </c:pt>
                <c:pt idx="81">
                  <c:v>1.59517294753398</c:v>
                </c:pt>
                <c:pt idx="82">
                  <c:v>1.6236933199561361</c:v>
                </c:pt>
                <c:pt idx="83">
                  <c:v>1.6556720744979845</c:v>
                </c:pt>
                <c:pt idx="84">
                  <c:v>1.6909830056250525</c:v>
                </c:pt>
                <c:pt idx="85">
                  <c:v>1.7294867572242105</c:v>
                </c:pt>
                <c:pt idx="86">
                  <c:v>1.7710313725785884</c:v>
                </c:pt>
                <c:pt idx="87">
                  <c:v>1.8154528940713111</c:v>
                </c:pt>
                <c:pt idx="88">
                  <c:v>1.8625760102513103</c:v>
                </c:pt>
                <c:pt idx="89">
                  <c:v>1.9122147477075266</c:v>
                </c:pt>
                <c:pt idx="90">
                  <c:v>1.9641732050210037</c:v>
                </c:pt>
                <c:pt idx="91">
                  <c:v>2.0182463258982848</c:v>
                </c:pt>
                <c:pt idx="92">
                  <c:v>2.074220708434928</c:v>
                </c:pt>
                <c:pt idx="93">
                  <c:v>2.1318754473153212</c:v>
                </c:pt>
                <c:pt idx="94">
                  <c:v>2.1909830056250525</c:v>
                </c:pt>
                <c:pt idx="95">
                  <c:v>2.2513101128351449</c:v>
                </c:pt>
                <c:pt idx="96">
                  <c:v>2.3126186854142752</c:v>
                </c:pt>
                <c:pt idx="97">
                  <c:v>2.3746667664356953</c:v>
                </c:pt>
                <c:pt idx="98">
                  <c:v>2.4372094804706865</c:v>
                </c:pt>
                <c:pt idx="99">
                  <c:v>2.5</c:v>
                </c:pt>
                <c:pt idx="100">
                  <c:v>2.5627905195293126</c:v>
                </c:pt>
                <c:pt idx="101">
                  <c:v>2.6253332335643043</c:v>
                </c:pt>
                <c:pt idx="102">
                  <c:v>2.6873813145857239</c:v>
                </c:pt>
                <c:pt idx="103">
                  <c:v>2.7486898871648551</c:v>
                </c:pt>
                <c:pt idx="104">
                  <c:v>2.8090169943749475</c:v>
                </c:pt>
                <c:pt idx="105">
                  <c:v>2.8681245526846784</c:v>
                </c:pt>
                <c:pt idx="106">
                  <c:v>2.9257792915650724</c:v>
                </c:pt>
                <c:pt idx="107">
                  <c:v>2.9817536741017157</c:v>
                </c:pt>
                <c:pt idx="108">
                  <c:v>3.0358267949789965</c:v>
                </c:pt>
                <c:pt idx="109">
                  <c:v>3.0877852522924734</c:v>
                </c:pt>
                <c:pt idx="110">
                  <c:v>3.1374239897486897</c:v>
                </c:pt>
                <c:pt idx="111">
                  <c:v>3.1845471059286892</c:v>
                </c:pt>
                <c:pt idx="112">
                  <c:v>3.2289686274214104</c:v>
                </c:pt>
                <c:pt idx="113">
                  <c:v>3.2705132427757886</c:v>
                </c:pt>
                <c:pt idx="114">
                  <c:v>3.3090169943749466</c:v>
                </c:pt>
                <c:pt idx="115">
                  <c:v>3.3443279255020149</c:v>
                </c:pt>
                <c:pt idx="116">
                  <c:v>3.376306680043863</c:v>
                </c:pt>
                <c:pt idx="117">
                  <c:v>3.4048270524660191</c:v>
                </c:pt>
                <c:pt idx="118">
                  <c:v>3.4297764858882509</c:v>
                </c:pt>
                <c:pt idx="119">
                  <c:v>3.4510565162951536</c:v>
                </c:pt>
                <c:pt idx="120">
                  <c:v>3.4685831611286311</c:v>
                </c:pt>
                <c:pt idx="121">
                  <c:v>3.4822872507286888</c:v>
                </c:pt>
                <c:pt idx="122">
                  <c:v>3.4921147013144775</c:v>
                </c:pt>
                <c:pt idx="123">
                  <c:v>3.4980267284282718</c:v>
                </c:pt>
                <c:pt idx="124">
                  <c:v>3.5</c:v>
                </c:pt>
                <c:pt idx="125">
                  <c:v>3.4980267284282718</c:v>
                </c:pt>
                <c:pt idx="126">
                  <c:v>3.492114701314478</c:v>
                </c:pt>
                <c:pt idx="127">
                  <c:v>3.4822872507286888</c:v>
                </c:pt>
                <c:pt idx="128">
                  <c:v>3.4685831611286311</c:v>
                </c:pt>
                <c:pt idx="129">
                  <c:v>3.4510565162951536</c:v>
                </c:pt>
                <c:pt idx="130">
                  <c:v>3.4297764858882518</c:v>
                </c:pt>
                <c:pt idx="131">
                  <c:v>3.4048270524660191</c:v>
                </c:pt>
                <c:pt idx="132">
                  <c:v>3.3763066800438635</c:v>
                </c:pt>
                <c:pt idx="133">
                  <c:v>3.3443279255020153</c:v>
                </c:pt>
                <c:pt idx="134">
                  <c:v>3.3090169943749475</c:v>
                </c:pt>
                <c:pt idx="135">
                  <c:v>3.2705132427757886</c:v>
                </c:pt>
                <c:pt idx="136">
                  <c:v>3.2289686274214109</c:v>
                </c:pt>
                <c:pt idx="137">
                  <c:v>3.1845471059286896</c:v>
                </c:pt>
                <c:pt idx="138">
                  <c:v>3.1374239897486911</c:v>
                </c:pt>
                <c:pt idx="139">
                  <c:v>3.0877852522924734</c:v>
                </c:pt>
                <c:pt idx="140">
                  <c:v>3.0358267949789974</c:v>
                </c:pt>
                <c:pt idx="141">
                  <c:v>2.9817536741017161</c:v>
                </c:pt>
                <c:pt idx="142">
                  <c:v>2.9257792915650738</c:v>
                </c:pt>
                <c:pt idx="143">
                  <c:v>2.8681245526846779</c:v>
                </c:pt>
                <c:pt idx="144">
                  <c:v>2.8090169943749479</c:v>
                </c:pt>
                <c:pt idx="145">
                  <c:v>2.7486898871648555</c:v>
                </c:pt>
                <c:pt idx="146">
                  <c:v>2.6873813145857257</c:v>
                </c:pt>
                <c:pt idx="147">
                  <c:v>2.6253332335643038</c:v>
                </c:pt>
                <c:pt idx="148">
                  <c:v>2.5627905195293135</c:v>
                </c:pt>
                <c:pt idx="149">
                  <c:v>2.5000000000000004</c:v>
                </c:pt>
                <c:pt idx="150">
                  <c:v>2.4372094804706874</c:v>
                </c:pt>
                <c:pt idx="151">
                  <c:v>2.3746667664356966</c:v>
                </c:pt>
                <c:pt idx="152">
                  <c:v>2.3126186854142752</c:v>
                </c:pt>
                <c:pt idx="153">
                  <c:v>2.2513101128351449</c:v>
                </c:pt>
                <c:pt idx="154">
                  <c:v>2.190983005625053</c:v>
                </c:pt>
                <c:pt idx="155">
                  <c:v>2.1318754473153225</c:v>
                </c:pt>
                <c:pt idx="156">
                  <c:v>2.0742207084349267</c:v>
                </c:pt>
                <c:pt idx="157">
                  <c:v>2.0182463258982843</c:v>
                </c:pt>
                <c:pt idx="158">
                  <c:v>1.9641732050210035</c:v>
                </c:pt>
                <c:pt idx="159">
                  <c:v>1.9122147477075271</c:v>
                </c:pt>
                <c:pt idx="160">
                  <c:v>1.8625760102513094</c:v>
                </c:pt>
                <c:pt idx="161">
                  <c:v>1.8154528940713108</c:v>
                </c:pt>
                <c:pt idx="162">
                  <c:v>1.7710313725785896</c:v>
                </c:pt>
                <c:pt idx="163">
                  <c:v>1.7294867572242119</c:v>
                </c:pt>
                <c:pt idx="164">
                  <c:v>1.6909830056250528</c:v>
                </c:pt>
                <c:pt idx="165">
                  <c:v>1.6556720744979854</c:v>
                </c:pt>
                <c:pt idx="166">
                  <c:v>1.623693319956137</c:v>
                </c:pt>
                <c:pt idx="167">
                  <c:v>1.5951729475339811</c:v>
                </c:pt>
                <c:pt idx="168">
                  <c:v>1.5702235141117487</c:v>
                </c:pt>
                <c:pt idx="169">
                  <c:v>1.5489434837048466</c:v>
                </c:pt>
                <c:pt idx="170">
                  <c:v>1.5314168388713689</c:v>
                </c:pt>
                <c:pt idx="171">
                  <c:v>1.5177127492713116</c:v>
                </c:pt>
                <c:pt idx="172">
                  <c:v>1.507885298685522</c:v>
                </c:pt>
                <c:pt idx="173">
                  <c:v>1.5019732715717284</c:v>
                </c:pt>
                <c:pt idx="174">
                  <c:v>1.5</c:v>
                </c:pt>
                <c:pt idx="175">
                  <c:v>1.5019732715717284</c:v>
                </c:pt>
                <c:pt idx="176">
                  <c:v>1.507885298685522</c:v>
                </c:pt>
                <c:pt idx="177">
                  <c:v>1.5177127492713114</c:v>
                </c:pt>
                <c:pt idx="178">
                  <c:v>1.5314168388713689</c:v>
                </c:pt>
                <c:pt idx="179">
                  <c:v>1.5489434837048464</c:v>
                </c:pt>
                <c:pt idx="180">
                  <c:v>1.5702235141117482</c:v>
                </c:pt>
                <c:pt idx="181">
                  <c:v>1.5951729475339809</c:v>
                </c:pt>
                <c:pt idx="182">
                  <c:v>1.6236933199561365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53-418C-9E6A-B15F11F6B30A}"/>
            </c:ext>
          </c:extLst>
        </c:ser>
        <c:ser>
          <c:idx val="4"/>
          <c:order val="4"/>
          <c:tx>
            <c:strRef>
              <c:f>Tabelle1!$F$1</c:f>
              <c:strCache>
                <c:ptCount val="1"/>
                <c:pt idx="0">
                  <c:v>Vcm_min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Tabelle1!$F$2:$F$184</c:f>
              <c:numCache>
                <c:formatCode>General</c:formatCode>
                <c:ptCount val="183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1.3</c:v>
                </c:pt>
                <c:pt idx="8">
                  <c:v>1.3</c:v>
                </c:pt>
                <c:pt idx="9">
                  <c:v>1.3</c:v>
                </c:pt>
                <c:pt idx="10">
                  <c:v>1.3</c:v>
                </c:pt>
                <c:pt idx="11">
                  <c:v>1.3</c:v>
                </c:pt>
                <c:pt idx="12">
                  <c:v>1.3</c:v>
                </c:pt>
                <c:pt idx="13">
                  <c:v>1.3</c:v>
                </c:pt>
                <c:pt idx="14">
                  <c:v>1.3</c:v>
                </c:pt>
                <c:pt idx="15">
                  <c:v>1.3</c:v>
                </c:pt>
                <c:pt idx="16">
                  <c:v>1.3</c:v>
                </c:pt>
                <c:pt idx="17">
                  <c:v>1.3</c:v>
                </c:pt>
                <c:pt idx="18">
                  <c:v>1.3</c:v>
                </c:pt>
                <c:pt idx="19">
                  <c:v>1.3</c:v>
                </c:pt>
                <c:pt idx="20">
                  <c:v>1.3</c:v>
                </c:pt>
                <c:pt idx="21">
                  <c:v>1.3</c:v>
                </c:pt>
                <c:pt idx="22">
                  <c:v>1.3</c:v>
                </c:pt>
                <c:pt idx="23">
                  <c:v>1.3</c:v>
                </c:pt>
                <c:pt idx="24">
                  <c:v>1.3</c:v>
                </c:pt>
                <c:pt idx="25">
                  <c:v>1.3</c:v>
                </c:pt>
                <c:pt idx="26">
                  <c:v>1.3</c:v>
                </c:pt>
                <c:pt idx="27">
                  <c:v>1.3</c:v>
                </c:pt>
                <c:pt idx="28">
                  <c:v>1.3</c:v>
                </c:pt>
                <c:pt idx="29">
                  <c:v>1.3</c:v>
                </c:pt>
                <c:pt idx="30">
                  <c:v>1.3</c:v>
                </c:pt>
                <c:pt idx="31">
                  <c:v>1.3</c:v>
                </c:pt>
                <c:pt idx="32">
                  <c:v>1.3</c:v>
                </c:pt>
                <c:pt idx="33">
                  <c:v>1.3</c:v>
                </c:pt>
                <c:pt idx="34">
                  <c:v>1.3</c:v>
                </c:pt>
                <c:pt idx="35">
                  <c:v>1.3</c:v>
                </c:pt>
                <c:pt idx="36">
                  <c:v>1.3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1.3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1.3</c:v>
                </c:pt>
                <c:pt idx="48">
                  <c:v>1.3</c:v>
                </c:pt>
                <c:pt idx="49">
                  <c:v>1.3</c:v>
                </c:pt>
                <c:pt idx="50">
                  <c:v>1.3</c:v>
                </c:pt>
                <c:pt idx="51">
                  <c:v>1.3</c:v>
                </c:pt>
                <c:pt idx="52">
                  <c:v>1.3</c:v>
                </c:pt>
                <c:pt idx="53">
                  <c:v>1.3</c:v>
                </c:pt>
                <c:pt idx="54">
                  <c:v>1.3</c:v>
                </c:pt>
                <c:pt idx="55">
                  <c:v>1.3</c:v>
                </c:pt>
                <c:pt idx="56">
                  <c:v>1.3</c:v>
                </c:pt>
                <c:pt idx="57">
                  <c:v>1.3</c:v>
                </c:pt>
                <c:pt idx="58">
                  <c:v>1.3</c:v>
                </c:pt>
                <c:pt idx="59">
                  <c:v>1.3</c:v>
                </c:pt>
                <c:pt idx="60">
                  <c:v>1.3</c:v>
                </c:pt>
                <c:pt idx="61">
                  <c:v>1.3</c:v>
                </c:pt>
                <c:pt idx="62">
                  <c:v>1.3</c:v>
                </c:pt>
                <c:pt idx="63">
                  <c:v>1.3</c:v>
                </c:pt>
                <c:pt idx="64">
                  <c:v>1.3</c:v>
                </c:pt>
                <c:pt idx="65">
                  <c:v>1.3</c:v>
                </c:pt>
                <c:pt idx="66">
                  <c:v>1.3</c:v>
                </c:pt>
                <c:pt idx="67">
                  <c:v>1.3</c:v>
                </c:pt>
                <c:pt idx="68">
                  <c:v>1.3</c:v>
                </c:pt>
                <c:pt idx="69">
                  <c:v>1.3</c:v>
                </c:pt>
                <c:pt idx="70">
                  <c:v>1.3</c:v>
                </c:pt>
                <c:pt idx="71">
                  <c:v>1.3</c:v>
                </c:pt>
                <c:pt idx="72">
                  <c:v>1.3</c:v>
                </c:pt>
                <c:pt idx="73">
                  <c:v>1.3</c:v>
                </c:pt>
                <c:pt idx="74">
                  <c:v>1.3</c:v>
                </c:pt>
                <c:pt idx="75">
                  <c:v>1.3</c:v>
                </c:pt>
                <c:pt idx="76">
                  <c:v>1.3</c:v>
                </c:pt>
                <c:pt idx="77">
                  <c:v>1.3</c:v>
                </c:pt>
                <c:pt idx="78">
                  <c:v>1.3</c:v>
                </c:pt>
                <c:pt idx="79">
                  <c:v>1.3</c:v>
                </c:pt>
                <c:pt idx="80">
                  <c:v>1.3</c:v>
                </c:pt>
                <c:pt idx="81">
                  <c:v>1.3</c:v>
                </c:pt>
                <c:pt idx="82">
                  <c:v>1.3</c:v>
                </c:pt>
                <c:pt idx="83">
                  <c:v>1.3</c:v>
                </c:pt>
                <c:pt idx="84">
                  <c:v>1.3</c:v>
                </c:pt>
                <c:pt idx="85">
                  <c:v>1.3</c:v>
                </c:pt>
                <c:pt idx="86">
                  <c:v>1.3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1.3</c:v>
                </c:pt>
                <c:pt idx="91">
                  <c:v>1.3</c:v>
                </c:pt>
                <c:pt idx="92">
                  <c:v>1.3</c:v>
                </c:pt>
                <c:pt idx="93">
                  <c:v>1.3</c:v>
                </c:pt>
                <c:pt idx="94">
                  <c:v>1.3</c:v>
                </c:pt>
                <c:pt idx="95">
                  <c:v>1.3</c:v>
                </c:pt>
                <c:pt idx="96">
                  <c:v>1.3</c:v>
                </c:pt>
                <c:pt idx="97">
                  <c:v>1.3</c:v>
                </c:pt>
                <c:pt idx="98">
                  <c:v>1.3</c:v>
                </c:pt>
                <c:pt idx="99">
                  <c:v>1.3</c:v>
                </c:pt>
                <c:pt idx="100">
                  <c:v>1.3</c:v>
                </c:pt>
                <c:pt idx="101">
                  <c:v>1.3</c:v>
                </c:pt>
                <c:pt idx="102">
                  <c:v>1.3</c:v>
                </c:pt>
                <c:pt idx="103">
                  <c:v>1.3</c:v>
                </c:pt>
                <c:pt idx="104">
                  <c:v>1.3</c:v>
                </c:pt>
                <c:pt idx="105">
                  <c:v>1.3</c:v>
                </c:pt>
                <c:pt idx="106">
                  <c:v>1.3</c:v>
                </c:pt>
                <c:pt idx="107">
                  <c:v>1.3</c:v>
                </c:pt>
                <c:pt idx="108">
                  <c:v>1.3</c:v>
                </c:pt>
                <c:pt idx="109">
                  <c:v>1.3</c:v>
                </c:pt>
                <c:pt idx="110">
                  <c:v>1.3</c:v>
                </c:pt>
                <c:pt idx="111">
                  <c:v>1.3</c:v>
                </c:pt>
                <c:pt idx="112">
                  <c:v>1.3</c:v>
                </c:pt>
                <c:pt idx="113">
                  <c:v>1.3</c:v>
                </c:pt>
                <c:pt idx="114">
                  <c:v>1.3</c:v>
                </c:pt>
                <c:pt idx="115">
                  <c:v>1.3</c:v>
                </c:pt>
                <c:pt idx="116">
                  <c:v>1.3</c:v>
                </c:pt>
                <c:pt idx="117">
                  <c:v>1.3</c:v>
                </c:pt>
                <c:pt idx="118">
                  <c:v>1.3</c:v>
                </c:pt>
                <c:pt idx="119">
                  <c:v>1.3</c:v>
                </c:pt>
                <c:pt idx="120">
                  <c:v>1.3</c:v>
                </c:pt>
                <c:pt idx="121">
                  <c:v>1.3</c:v>
                </c:pt>
                <c:pt idx="122">
                  <c:v>1.3</c:v>
                </c:pt>
                <c:pt idx="123">
                  <c:v>1.3</c:v>
                </c:pt>
                <c:pt idx="124">
                  <c:v>1.3</c:v>
                </c:pt>
                <c:pt idx="125">
                  <c:v>1.3</c:v>
                </c:pt>
                <c:pt idx="126">
                  <c:v>1.3</c:v>
                </c:pt>
                <c:pt idx="127">
                  <c:v>1.3</c:v>
                </c:pt>
                <c:pt idx="128">
                  <c:v>1.3</c:v>
                </c:pt>
                <c:pt idx="129">
                  <c:v>1.3</c:v>
                </c:pt>
                <c:pt idx="130">
                  <c:v>1.3</c:v>
                </c:pt>
                <c:pt idx="131">
                  <c:v>1.3</c:v>
                </c:pt>
                <c:pt idx="132">
                  <c:v>1.3</c:v>
                </c:pt>
                <c:pt idx="133">
                  <c:v>1.3</c:v>
                </c:pt>
                <c:pt idx="134">
                  <c:v>1.3</c:v>
                </c:pt>
                <c:pt idx="135">
                  <c:v>1.3</c:v>
                </c:pt>
                <c:pt idx="136">
                  <c:v>1.3</c:v>
                </c:pt>
                <c:pt idx="137">
                  <c:v>1.3</c:v>
                </c:pt>
                <c:pt idx="138">
                  <c:v>1.3</c:v>
                </c:pt>
                <c:pt idx="139">
                  <c:v>1.3</c:v>
                </c:pt>
                <c:pt idx="140">
                  <c:v>1.3</c:v>
                </c:pt>
                <c:pt idx="141">
                  <c:v>1.3</c:v>
                </c:pt>
                <c:pt idx="142">
                  <c:v>1.3</c:v>
                </c:pt>
                <c:pt idx="143">
                  <c:v>1.3</c:v>
                </c:pt>
                <c:pt idx="144">
                  <c:v>1.3</c:v>
                </c:pt>
                <c:pt idx="145">
                  <c:v>1.3</c:v>
                </c:pt>
                <c:pt idx="146">
                  <c:v>1.3</c:v>
                </c:pt>
                <c:pt idx="147">
                  <c:v>1.3</c:v>
                </c:pt>
                <c:pt idx="148">
                  <c:v>1.3</c:v>
                </c:pt>
                <c:pt idx="149">
                  <c:v>1.3</c:v>
                </c:pt>
                <c:pt idx="150">
                  <c:v>1.3</c:v>
                </c:pt>
                <c:pt idx="151">
                  <c:v>1.3</c:v>
                </c:pt>
                <c:pt idx="152">
                  <c:v>1.3</c:v>
                </c:pt>
                <c:pt idx="153">
                  <c:v>1.3</c:v>
                </c:pt>
                <c:pt idx="154">
                  <c:v>1.3</c:v>
                </c:pt>
                <c:pt idx="155">
                  <c:v>1.3</c:v>
                </c:pt>
                <c:pt idx="156">
                  <c:v>1.3</c:v>
                </c:pt>
                <c:pt idx="157">
                  <c:v>1.3</c:v>
                </c:pt>
                <c:pt idx="158">
                  <c:v>1.3</c:v>
                </c:pt>
                <c:pt idx="159">
                  <c:v>1.3</c:v>
                </c:pt>
                <c:pt idx="160">
                  <c:v>1.3</c:v>
                </c:pt>
                <c:pt idx="161">
                  <c:v>1.3</c:v>
                </c:pt>
                <c:pt idx="162">
                  <c:v>1.3</c:v>
                </c:pt>
                <c:pt idx="163">
                  <c:v>1.3</c:v>
                </c:pt>
                <c:pt idx="164">
                  <c:v>1.3</c:v>
                </c:pt>
                <c:pt idx="165">
                  <c:v>1.3</c:v>
                </c:pt>
                <c:pt idx="166">
                  <c:v>1.3</c:v>
                </c:pt>
                <c:pt idx="167">
                  <c:v>1.3</c:v>
                </c:pt>
                <c:pt idx="168">
                  <c:v>1.3</c:v>
                </c:pt>
                <c:pt idx="169">
                  <c:v>1.3</c:v>
                </c:pt>
                <c:pt idx="170">
                  <c:v>1.3</c:v>
                </c:pt>
                <c:pt idx="171">
                  <c:v>1.3</c:v>
                </c:pt>
                <c:pt idx="172">
                  <c:v>1.3</c:v>
                </c:pt>
                <c:pt idx="173">
                  <c:v>1.3</c:v>
                </c:pt>
                <c:pt idx="174">
                  <c:v>1.3</c:v>
                </c:pt>
                <c:pt idx="175">
                  <c:v>1.3</c:v>
                </c:pt>
                <c:pt idx="176">
                  <c:v>1.3</c:v>
                </c:pt>
                <c:pt idx="177">
                  <c:v>1.3</c:v>
                </c:pt>
                <c:pt idx="178">
                  <c:v>1.3</c:v>
                </c:pt>
                <c:pt idx="179">
                  <c:v>1.3</c:v>
                </c:pt>
                <c:pt idx="180">
                  <c:v>1.3</c:v>
                </c:pt>
                <c:pt idx="181">
                  <c:v>1.3</c:v>
                </c:pt>
                <c:pt idx="182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53-418C-9E6A-B15F11F6B30A}"/>
            </c:ext>
          </c:extLst>
        </c:ser>
        <c:ser>
          <c:idx val="5"/>
          <c:order val="5"/>
          <c:tx>
            <c:strRef>
              <c:f>Tabelle1!$G$1</c:f>
              <c:strCache>
                <c:ptCount val="1"/>
                <c:pt idx="0">
                  <c:v>Vcm_max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Tabelle1!$G$2:$G$184</c:f>
              <c:numCache>
                <c:formatCode>General</c:formatCode>
                <c:ptCount val="183"/>
                <c:pt idx="0">
                  <c:v>3.7</c:v>
                </c:pt>
                <c:pt idx="1">
                  <c:v>3.7</c:v>
                </c:pt>
                <c:pt idx="2">
                  <c:v>3.7</c:v>
                </c:pt>
                <c:pt idx="3">
                  <c:v>3.7</c:v>
                </c:pt>
                <c:pt idx="4">
                  <c:v>3.7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3.7</c:v>
                </c:pt>
                <c:pt idx="9">
                  <c:v>3.7</c:v>
                </c:pt>
                <c:pt idx="10">
                  <c:v>3.7</c:v>
                </c:pt>
                <c:pt idx="11">
                  <c:v>3.7</c:v>
                </c:pt>
                <c:pt idx="12">
                  <c:v>3.7</c:v>
                </c:pt>
                <c:pt idx="13">
                  <c:v>3.7</c:v>
                </c:pt>
                <c:pt idx="14">
                  <c:v>3.7</c:v>
                </c:pt>
                <c:pt idx="15">
                  <c:v>3.7</c:v>
                </c:pt>
                <c:pt idx="16">
                  <c:v>3.7</c:v>
                </c:pt>
                <c:pt idx="17">
                  <c:v>3.7</c:v>
                </c:pt>
                <c:pt idx="18">
                  <c:v>3.7</c:v>
                </c:pt>
                <c:pt idx="19">
                  <c:v>3.7</c:v>
                </c:pt>
                <c:pt idx="20">
                  <c:v>3.7</c:v>
                </c:pt>
                <c:pt idx="21">
                  <c:v>3.7</c:v>
                </c:pt>
                <c:pt idx="22">
                  <c:v>3.7</c:v>
                </c:pt>
                <c:pt idx="23">
                  <c:v>3.7</c:v>
                </c:pt>
                <c:pt idx="24">
                  <c:v>3.7</c:v>
                </c:pt>
                <c:pt idx="25">
                  <c:v>3.7</c:v>
                </c:pt>
                <c:pt idx="26">
                  <c:v>3.7</c:v>
                </c:pt>
                <c:pt idx="27">
                  <c:v>3.7</c:v>
                </c:pt>
                <c:pt idx="28">
                  <c:v>3.7</c:v>
                </c:pt>
                <c:pt idx="29">
                  <c:v>3.7</c:v>
                </c:pt>
                <c:pt idx="30">
                  <c:v>3.7</c:v>
                </c:pt>
                <c:pt idx="31">
                  <c:v>3.7</c:v>
                </c:pt>
                <c:pt idx="32">
                  <c:v>3.7</c:v>
                </c:pt>
                <c:pt idx="33">
                  <c:v>3.7</c:v>
                </c:pt>
                <c:pt idx="34">
                  <c:v>3.7</c:v>
                </c:pt>
                <c:pt idx="35">
                  <c:v>3.7</c:v>
                </c:pt>
                <c:pt idx="36">
                  <c:v>3.7</c:v>
                </c:pt>
                <c:pt idx="37">
                  <c:v>3.7</c:v>
                </c:pt>
                <c:pt idx="38">
                  <c:v>3.7</c:v>
                </c:pt>
                <c:pt idx="39">
                  <c:v>3.7</c:v>
                </c:pt>
                <c:pt idx="40">
                  <c:v>3.7</c:v>
                </c:pt>
                <c:pt idx="41">
                  <c:v>3.7</c:v>
                </c:pt>
                <c:pt idx="42">
                  <c:v>3.7</c:v>
                </c:pt>
                <c:pt idx="43">
                  <c:v>3.7</c:v>
                </c:pt>
                <c:pt idx="44">
                  <c:v>3.7</c:v>
                </c:pt>
                <c:pt idx="45">
                  <c:v>3.7</c:v>
                </c:pt>
                <c:pt idx="46">
                  <c:v>3.7</c:v>
                </c:pt>
                <c:pt idx="47">
                  <c:v>3.7</c:v>
                </c:pt>
                <c:pt idx="48">
                  <c:v>3.7</c:v>
                </c:pt>
                <c:pt idx="49">
                  <c:v>3.7</c:v>
                </c:pt>
                <c:pt idx="50">
                  <c:v>3.7</c:v>
                </c:pt>
                <c:pt idx="51">
                  <c:v>3.7</c:v>
                </c:pt>
                <c:pt idx="52">
                  <c:v>3.7</c:v>
                </c:pt>
                <c:pt idx="53">
                  <c:v>3.7</c:v>
                </c:pt>
                <c:pt idx="54">
                  <c:v>3.7</c:v>
                </c:pt>
                <c:pt idx="55">
                  <c:v>3.7</c:v>
                </c:pt>
                <c:pt idx="56">
                  <c:v>3.7</c:v>
                </c:pt>
                <c:pt idx="57">
                  <c:v>3.7</c:v>
                </c:pt>
                <c:pt idx="58">
                  <c:v>3.7</c:v>
                </c:pt>
                <c:pt idx="59">
                  <c:v>3.7</c:v>
                </c:pt>
                <c:pt idx="60">
                  <c:v>3.7</c:v>
                </c:pt>
                <c:pt idx="61">
                  <c:v>3.7</c:v>
                </c:pt>
                <c:pt idx="62">
                  <c:v>3.7</c:v>
                </c:pt>
                <c:pt idx="63">
                  <c:v>3.7</c:v>
                </c:pt>
                <c:pt idx="64">
                  <c:v>3.7</c:v>
                </c:pt>
                <c:pt idx="65">
                  <c:v>3.7</c:v>
                </c:pt>
                <c:pt idx="66">
                  <c:v>3.7</c:v>
                </c:pt>
                <c:pt idx="67">
                  <c:v>3.7</c:v>
                </c:pt>
                <c:pt idx="68">
                  <c:v>3.7</c:v>
                </c:pt>
                <c:pt idx="69">
                  <c:v>3.7</c:v>
                </c:pt>
                <c:pt idx="70">
                  <c:v>3.7</c:v>
                </c:pt>
                <c:pt idx="71">
                  <c:v>3.7</c:v>
                </c:pt>
                <c:pt idx="72">
                  <c:v>3.7</c:v>
                </c:pt>
                <c:pt idx="73">
                  <c:v>3.7</c:v>
                </c:pt>
                <c:pt idx="74">
                  <c:v>3.7</c:v>
                </c:pt>
                <c:pt idx="75">
                  <c:v>3.7</c:v>
                </c:pt>
                <c:pt idx="76">
                  <c:v>3.7</c:v>
                </c:pt>
                <c:pt idx="77">
                  <c:v>3.7</c:v>
                </c:pt>
                <c:pt idx="78">
                  <c:v>3.7</c:v>
                </c:pt>
                <c:pt idx="79">
                  <c:v>3.7</c:v>
                </c:pt>
                <c:pt idx="80">
                  <c:v>3.7</c:v>
                </c:pt>
                <c:pt idx="81">
                  <c:v>3.7</c:v>
                </c:pt>
                <c:pt idx="82">
                  <c:v>3.7</c:v>
                </c:pt>
                <c:pt idx="83">
                  <c:v>3.7</c:v>
                </c:pt>
                <c:pt idx="84">
                  <c:v>3.7</c:v>
                </c:pt>
                <c:pt idx="85">
                  <c:v>3.7</c:v>
                </c:pt>
                <c:pt idx="86">
                  <c:v>3.7</c:v>
                </c:pt>
                <c:pt idx="87">
                  <c:v>3.7</c:v>
                </c:pt>
                <c:pt idx="88">
                  <c:v>3.7</c:v>
                </c:pt>
                <c:pt idx="89">
                  <c:v>3.7</c:v>
                </c:pt>
                <c:pt idx="90">
                  <c:v>3.7</c:v>
                </c:pt>
                <c:pt idx="91">
                  <c:v>3.7</c:v>
                </c:pt>
                <c:pt idx="92">
                  <c:v>3.7</c:v>
                </c:pt>
                <c:pt idx="93">
                  <c:v>3.7</c:v>
                </c:pt>
                <c:pt idx="94">
                  <c:v>3.7</c:v>
                </c:pt>
                <c:pt idx="95">
                  <c:v>3.7</c:v>
                </c:pt>
                <c:pt idx="96">
                  <c:v>3.7</c:v>
                </c:pt>
                <c:pt idx="97">
                  <c:v>3.7</c:v>
                </c:pt>
                <c:pt idx="98">
                  <c:v>3.7</c:v>
                </c:pt>
                <c:pt idx="99">
                  <c:v>3.7</c:v>
                </c:pt>
                <c:pt idx="100">
                  <c:v>3.7</c:v>
                </c:pt>
                <c:pt idx="101">
                  <c:v>3.7</c:v>
                </c:pt>
                <c:pt idx="102">
                  <c:v>3.7</c:v>
                </c:pt>
                <c:pt idx="103">
                  <c:v>3.7</c:v>
                </c:pt>
                <c:pt idx="104">
                  <c:v>3.7</c:v>
                </c:pt>
                <c:pt idx="105">
                  <c:v>3.7</c:v>
                </c:pt>
                <c:pt idx="106">
                  <c:v>3.7</c:v>
                </c:pt>
                <c:pt idx="107">
                  <c:v>3.7</c:v>
                </c:pt>
                <c:pt idx="108">
                  <c:v>3.7</c:v>
                </c:pt>
                <c:pt idx="109">
                  <c:v>3.7</c:v>
                </c:pt>
                <c:pt idx="110">
                  <c:v>3.7</c:v>
                </c:pt>
                <c:pt idx="111">
                  <c:v>3.7</c:v>
                </c:pt>
                <c:pt idx="112">
                  <c:v>3.7</c:v>
                </c:pt>
                <c:pt idx="113">
                  <c:v>3.7</c:v>
                </c:pt>
                <c:pt idx="114">
                  <c:v>3.7</c:v>
                </c:pt>
                <c:pt idx="115">
                  <c:v>3.7</c:v>
                </c:pt>
                <c:pt idx="116">
                  <c:v>3.7</c:v>
                </c:pt>
                <c:pt idx="117">
                  <c:v>3.7</c:v>
                </c:pt>
                <c:pt idx="118">
                  <c:v>3.7</c:v>
                </c:pt>
                <c:pt idx="119">
                  <c:v>3.7</c:v>
                </c:pt>
                <c:pt idx="120">
                  <c:v>3.7</c:v>
                </c:pt>
                <c:pt idx="121">
                  <c:v>3.7</c:v>
                </c:pt>
                <c:pt idx="122">
                  <c:v>3.7</c:v>
                </c:pt>
                <c:pt idx="123">
                  <c:v>3.7</c:v>
                </c:pt>
                <c:pt idx="124">
                  <c:v>3.7</c:v>
                </c:pt>
                <c:pt idx="125">
                  <c:v>3.7</c:v>
                </c:pt>
                <c:pt idx="126">
                  <c:v>3.7</c:v>
                </c:pt>
                <c:pt idx="127">
                  <c:v>3.7</c:v>
                </c:pt>
                <c:pt idx="128">
                  <c:v>3.7</c:v>
                </c:pt>
                <c:pt idx="129">
                  <c:v>3.7</c:v>
                </c:pt>
                <c:pt idx="130">
                  <c:v>3.7</c:v>
                </c:pt>
                <c:pt idx="131">
                  <c:v>3.7</c:v>
                </c:pt>
                <c:pt idx="132">
                  <c:v>3.7</c:v>
                </c:pt>
                <c:pt idx="133">
                  <c:v>3.7</c:v>
                </c:pt>
                <c:pt idx="134">
                  <c:v>3.7</c:v>
                </c:pt>
                <c:pt idx="135">
                  <c:v>3.7</c:v>
                </c:pt>
                <c:pt idx="136">
                  <c:v>3.7</c:v>
                </c:pt>
                <c:pt idx="137">
                  <c:v>3.7</c:v>
                </c:pt>
                <c:pt idx="138">
                  <c:v>3.7</c:v>
                </c:pt>
                <c:pt idx="139">
                  <c:v>3.7</c:v>
                </c:pt>
                <c:pt idx="140">
                  <c:v>3.7</c:v>
                </c:pt>
                <c:pt idx="141">
                  <c:v>3.7</c:v>
                </c:pt>
                <c:pt idx="142">
                  <c:v>3.7</c:v>
                </c:pt>
                <c:pt idx="143">
                  <c:v>3.7</c:v>
                </c:pt>
                <c:pt idx="144">
                  <c:v>3.7</c:v>
                </c:pt>
                <c:pt idx="145">
                  <c:v>3.7</c:v>
                </c:pt>
                <c:pt idx="146">
                  <c:v>3.7</c:v>
                </c:pt>
                <c:pt idx="147">
                  <c:v>3.7</c:v>
                </c:pt>
                <c:pt idx="148">
                  <c:v>3.7</c:v>
                </c:pt>
                <c:pt idx="149">
                  <c:v>3.7</c:v>
                </c:pt>
                <c:pt idx="150">
                  <c:v>3.7</c:v>
                </c:pt>
                <c:pt idx="151">
                  <c:v>3.7</c:v>
                </c:pt>
                <c:pt idx="152">
                  <c:v>3.7</c:v>
                </c:pt>
                <c:pt idx="153">
                  <c:v>3.7</c:v>
                </c:pt>
                <c:pt idx="154">
                  <c:v>3.7</c:v>
                </c:pt>
                <c:pt idx="155">
                  <c:v>3.7</c:v>
                </c:pt>
                <c:pt idx="156">
                  <c:v>3.7</c:v>
                </c:pt>
                <c:pt idx="157">
                  <c:v>3.7</c:v>
                </c:pt>
                <c:pt idx="158">
                  <c:v>3.7</c:v>
                </c:pt>
                <c:pt idx="159">
                  <c:v>3.7</c:v>
                </c:pt>
                <c:pt idx="160">
                  <c:v>3.7</c:v>
                </c:pt>
                <c:pt idx="161">
                  <c:v>3.7</c:v>
                </c:pt>
                <c:pt idx="162">
                  <c:v>3.7</c:v>
                </c:pt>
                <c:pt idx="163">
                  <c:v>3.7</c:v>
                </c:pt>
                <c:pt idx="164">
                  <c:v>3.7</c:v>
                </c:pt>
                <c:pt idx="165">
                  <c:v>3.7</c:v>
                </c:pt>
                <c:pt idx="166">
                  <c:v>3.7</c:v>
                </c:pt>
                <c:pt idx="167">
                  <c:v>3.7</c:v>
                </c:pt>
                <c:pt idx="168">
                  <c:v>3.7</c:v>
                </c:pt>
                <c:pt idx="169">
                  <c:v>3.7</c:v>
                </c:pt>
                <c:pt idx="170">
                  <c:v>3.7</c:v>
                </c:pt>
                <c:pt idx="171">
                  <c:v>3.7</c:v>
                </c:pt>
                <c:pt idx="172">
                  <c:v>3.7</c:v>
                </c:pt>
                <c:pt idx="173">
                  <c:v>3.7</c:v>
                </c:pt>
                <c:pt idx="174">
                  <c:v>3.7</c:v>
                </c:pt>
                <c:pt idx="175">
                  <c:v>3.7</c:v>
                </c:pt>
                <c:pt idx="176">
                  <c:v>3.7</c:v>
                </c:pt>
                <c:pt idx="177">
                  <c:v>3.7</c:v>
                </c:pt>
                <c:pt idx="178">
                  <c:v>3.7</c:v>
                </c:pt>
                <c:pt idx="179">
                  <c:v>3.7</c:v>
                </c:pt>
                <c:pt idx="180">
                  <c:v>3.7</c:v>
                </c:pt>
                <c:pt idx="181">
                  <c:v>3.7</c:v>
                </c:pt>
                <c:pt idx="182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53-418C-9E6A-B15F11F6B30A}"/>
            </c:ext>
          </c:extLst>
        </c:ser>
        <c:ser>
          <c:idx val="6"/>
          <c:order val="6"/>
          <c:tx>
            <c:strRef>
              <c:f>Tabelle1!$H$1</c:f>
              <c:strCache>
                <c:ptCount val="1"/>
                <c:pt idx="0">
                  <c:v>Vin_min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Tabelle1!$H$2:$H$184</c:f>
              <c:numCache>
                <c:formatCode>General</c:formatCode>
                <c:ptCount val="183"/>
                <c:pt idx="0">
                  <c:v>-4</c:v>
                </c:pt>
                <c:pt idx="1">
                  <c:v>-4</c:v>
                </c:pt>
                <c:pt idx="2">
                  <c:v>-4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-4</c:v>
                </c:pt>
                <c:pt idx="9">
                  <c:v>-4</c:v>
                </c:pt>
                <c:pt idx="10">
                  <c:v>-4</c:v>
                </c:pt>
                <c:pt idx="11">
                  <c:v>-4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-4</c:v>
                </c:pt>
                <c:pt idx="20">
                  <c:v>-4</c:v>
                </c:pt>
                <c:pt idx="21">
                  <c:v>-4</c:v>
                </c:pt>
                <c:pt idx="22">
                  <c:v>-4</c:v>
                </c:pt>
                <c:pt idx="23">
                  <c:v>-4</c:v>
                </c:pt>
                <c:pt idx="24">
                  <c:v>-4</c:v>
                </c:pt>
                <c:pt idx="25">
                  <c:v>-4</c:v>
                </c:pt>
                <c:pt idx="26">
                  <c:v>-4</c:v>
                </c:pt>
                <c:pt idx="27">
                  <c:v>-4</c:v>
                </c:pt>
                <c:pt idx="28">
                  <c:v>-4</c:v>
                </c:pt>
                <c:pt idx="29">
                  <c:v>-4</c:v>
                </c:pt>
                <c:pt idx="30">
                  <c:v>-4</c:v>
                </c:pt>
                <c:pt idx="31">
                  <c:v>-4</c:v>
                </c:pt>
                <c:pt idx="32">
                  <c:v>-4</c:v>
                </c:pt>
                <c:pt idx="33">
                  <c:v>-4</c:v>
                </c:pt>
                <c:pt idx="34">
                  <c:v>-4</c:v>
                </c:pt>
                <c:pt idx="35">
                  <c:v>-4</c:v>
                </c:pt>
                <c:pt idx="36">
                  <c:v>-4</c:v>
                </c:pt>
                <c:pt idx="37">
                  <c:v>-4</c:v>
                </c:pt>
                <c:pt idx="38">
                  <c:v>-4</c:v>
                </c:pt>
                <c:pt idx="39">
                  <c:v>-4</c:v>
                </c:pt>
                <c:pt idx="40">
                  <c:v>-4</c:v>
                </c:pt>
                <c:pt idx="41">
                  <c:v>-4</c:v>
                </c:pt>
                <c:pt idx="42">
                  <c:v>-4</c:v>
                </c:pt>
                <c:pt idx="43">
                  <c:v>-4</c:v>
                </c:pt>
                <c:pt idx="44">
                  <c:v>-4</c:v>
                </c:pt>
                <c:pt idx="45">
                  <c:v>-4</c:v>
                </c:pt>
                <c:pt idx="46">
                  <c:v>-4</c:v>
                </c:pt>
                <c:pt idx="47">
                  <c:v>-4</c:v>
                </c:pt>
                <c:pt idx="48">
                  <c:v>-4</c:v>
                </c:pt>
                <c:pt idx="49">
                  <c:v>-4</c:v>
                </c:pt>
                <c:pt idx="50">
                  <c:v>-4</c:v>
                </c:pt>
                <c:pt idx="51">
                  <c:v>-4</c:v>
                </c:pt>
                <c:pt idx="52">
                  <c:v>-4</c:v>
                </c:pt>
                <c:pt idx="53">
                  <c:v>-4</c:v>
                </c:pt>
                <c:pt idx="54">
                  <c:v>-4</c:v>
                </c:pt>
                <c:pt idx="55">
                  <c:v>-4</c:v>
                </c:pt>
                <c:pt idx="56">
                  <c:v>-4</c:v>
                </c:pt>
                <c:pt idx="57">
                  <c:v>-4</c:v>
                </c:pt>
                <c:pt idx="58">
                  <c:v>-4</c:v>
                </c:pt>
                <c:pt idx="59">
                  <c:v>-4</c:v>
                </c:pt>
                <c:pt idx="60">
                  <c:v>-4</c:v>
                </c:pt>
                <c:pt idx="61">
                  <c:v>-4</c:v>
                </c:pt>
                <c:pt idx="62">
                  <c:v>-4</c:v>
                </c:pt>
                <c:pt idx="63">
                  <c:v>-4</c:v>
                </c:pt>
                <c:pt idx="64">
                  <c:v>-4</c:v>
                </c:pt>
                <c:pt idx="65">
                  <c:v>-4</c:v>
                </c:pt>
                <c:pt idx="66">
                  <c:v>-4</c:v>
                </c:pt>
                <c:pt idx="67">
                  <c:v>-4</c:v>
                </c:pt>
                <c:pt idx="68">
                  <c:v>-4</c:v>
                </c:pt>
                <c:pt idx="69">
                  <c:v>-4</c:v>
                </c:pt>
                <c:pt idx="70">
                  <c:v>-4</c:v>
                </c:pt>
                <c:pt idx="71">
                  <c:v>-4</c:v>
                </c:pt>
                <c:pt idx="72">
                  <c:v>-4</c:v>
                </c:pt>
                <c:pt idx="73">
                  <c:v>-4</c:v>
                </c:pt>
                <c:pt idx="74">
                  <c:v>-4</c:v>
                </c:pt>
                <c:pt idx="75">
                  <c:v>-4</c:v>
                </c:pt>
                <c:pt idx="76">
                  <c:v>-4</c:v>
                </c:pt>
                <c:pt idx="77">
                  <c:v>-4</c:v>
                </c:pt>
                <c:pt idx="78">
                  <c:v>-4</c:v>
                </c:pt>
                <c:pt idx="79">
                  <c:v>-4</c:v>
                </c:pt>
                <c:pt idx="80">
                  <c:v>-4</c:v>
                </c:pt>
                <c:pt idx="81">
                  <c:v>-4</c:v>
                </c:pt>
                <c:pt idx="82">
                  <c:v>-4</c:v>
                </c:pt>
                <c:pt idx="83">
                  <c:v>-4</c:v>
                </c:pt>
                <c:pt idx="84">
                  <c:v>-4</c:v>
                </c:pt>
                <c:pt idx="85">
                  <c:v>-4</c:v>
                </c:pt>
                <c:pt idx="86">
                  <c:v>-4</c:v>
                </c:pt>
                <c:pt idx="87">
                  <c:v>-4</c:v>
                </c:pt>
                <c:pt idx="88">
                  <c:v>-4</c:v>
                </c:pt>
                <c:pt idx="89">
                  <c:v>-4</c:v>
                </c:pt>
                <c:pt idx="90">
                  <c:v>-4</c:v>
                </c:pt>
                <c:pt idx="91">
                  <c:v>-4</c:v>
                </c:pt>
                <c:pt idx="92">
                  <c:v>-4</c:v>
                </c:pt>
                <c:pt idx="93">
                  <c:v>-4</c:v>
                </c:pt>
                <c:pt idx="94">
                  <c:v>-4</c:v>
                </c:pt>
                <c:pt idx="95">
                  <c:v>-4</c:v>
                </c:pt>
                <c:pt idx="96">
                  <c:v>-4</c:v>
                </c:pt>
                <c:pt idx="97">
                  <c:v>-4</c:v>
                </c:pt>
                <c:pt idx="98">
                  <c:v>-4</c:v>
                </c:pt>
                <c:pt idx="99">
                  <c:v>-4</c:v>
                </c:pt>
                <c:pt idx="100">
                  <c:v>-4</c:v>
                </c:pt>
                <c:pt idx="101">
                  <c:v>-4</c:v>
                </c:pt>
                <c:pt idx="102">
                  <c:v>-4</c:v>
                </c:pt>
                <c:pt idx="103">
                  <c:v>-4</c:v>
                </c:pt>
                <c:pt idx="104">
                  <c:v>-4</c:v>
                </c:pt>
                <c:pt idx="105">
                  <c:v>-4</c:v>
                </c:pt>
                <c:pt idx="106">
                  <c:v>-4</c:v>
                </c:pt>
                <c:pt idx="107">
                  <c:v>-4</c:v>
                </c:pt>
                <c:pt idx="108">
                  <c:v>-4</c:v>
                </c:pt>
                <c:pt idx="109">
                  <c:v>-4</c:v>
                </c:pt>
                <c:pt idx="110">
                  <c:v>-4</c:v>
                </c:pt>
                <c:pt idx="111">
                  <c:v>-4</c:v>
                </c:pt>
                <c:pt idx="112">
                  <c:v>-4</c:v>
                </c:pt>
                <c:pt idx="113">
                  <c:v>-4</c:v>
                </c:pt>
                <c:pt idx="114">
                  <c:v>-4</c:v>
                </c:pt>
                <c:pt idx="115">
                  <c:v>-4</c:v>
                </c:pt>
                <c:pt idx="116">
                  <c:v>-4</c:v>
                </c:pt>
                <c:pt idx="117">
                  <c:v>-4</c:v>
                </c:pt>
                <c:pt idx="118">
                  <c:v>-4</c:v>
                </c:pt>
                <c:pt idx="119">
                  <c:v>-4</c:v>
                </c:pt>
                <c:pt idx="120">
                  <c:v>-4</c:v>
                </c:pt>
                <c:pt idx="121">
                  <c:v>-4</c:v>
                </c:pt>
                <c:pt idx="122">
                  <c:v>-4</c:v>
                </c:pt>
                <c:pt idx="123">
                  <c:v>-4</c:v>
                </c:pt>
                <c:pt idx="124">
                  <c:v>-4</c:v>
                </c:pt>
                <c:pt idx="125">
                  <c:v>-4</c:v>
                </c:pt>
                <c:pt idx="126">
                  <c:v>-4</c:v>
                </c:pt>
                <c:pt idx="127">
                  <c:v>-4</c:v>
                </c:pt>
                <c:pt idx="128">
                  <c:v>-4</c:v>
                </c:pt>
                <c:pt idx="129">
                  <c:v>-4</c:v>
                </c:pt>
                <c:pt idx="130">
                  <c:v>-4</c:v>
                </c:pt>
                <c:pt idx="131">
                  <c:v>-4</c:v>
                </c:pt>
                <c:pt idx="132">
                  <c:v>-4</c:v>
                </c:pt>
                <c:pt idx="133">
                  <c:v>-4</c:v>
                </c:pt>
                <c:pt idx="134">
                  <c:v>-4</c:v>
                </c:pt>
                <c:pt idx="135">
                  <c:v>-4</c:v>
                </c:pt>
                <c:pt idx="136">
                  <c:v>-4</c:v>
                </c:pt>
                <c:pt idx="137">
                  <c:v>-4</c:v>
                </c:pt>
                <c:pt idx="138">
                  <c:v>-4</c:v>
                </c:pt>
                <c:pt idx="139">
                  <c:v>-4</c:v>
                </c:pt>
                <c:pt idx="140">
                  <c:v>-4</c:v>
                </c:pt>
                <c:pt idx="141">
                  <c:v>-4</c:v>
                </c:pt>
                <c:pt idx="142">
                  <c:v>-4</c:v>
                </c:pt>
                <c:pt idx="143">
                  <c:v>-4</c:v>
                </c:pt>
                <c:pt idx="144">
                  <c:v>-4</c:v>
                </c:pt>
                <c:pt idx="145">
                  <c:v>-4</c:v>
                </c:pt>
                <c:pt idx="146">
                  <c:v>-4</c:v>
                </c:pt>
                <c:pt idx="147">
                  <c:v>-4</c:v>
                </c:pt>
                <c:pt idx="148">
                  <c:v>-4</c:v>
                </c:pt>
                <c:pt idx="149">
                  <c:v>-4</c:v>
                </c:pt>
                <c:pt idx="150">
                  <c:v>-4</c:v>
                </c:pt>
                <c:pt idx="151">
                  <c:v>-4</c:v>
                </c:pt>
                <c:pt idx="152">
                  <c:v>-4</c:v>
                </c:pt>
                <c:pt idx="153">
                  <c:v>-4</c:v>
                </c:pt>
                <c:pt idx="154">
                  <c:v>-4</c:v>
                </c:pt>
                <c:pt idx="155">
                  <c:v>-4</c:v>
                </c:pt>
                <c:pt idx="156">
                  <c:v>-4</c:v>
                </c:pt>
                <c:pt idx="157">
                  <c:v>-4</c:v>
                </c:pt>
                <c:pt idx="158">
                  <c:v>-4</c:v>
                </c:pt>
                <c:pt idx="159">
                  <c:v>-4</c:v>
                </c:pt>
                <c:pt idx="160">
                  <c:v>-4</c:v>
                </c:pt>
                <c:pt idx="161">
                  <c:v>-4</c:v>
                </c:pt>
                <c:pt idx="162">
                  <c:v>-4</c:v>
                </c:pt>
                <c:pt idx="163">
                  <c:v>-4</c:v>
                </c:pt>
                <c:pt idx="164">
                  <c:v>-4</c:v>
                </c:pt>
                <c:pt idx="165">
                  <c:v>-4</c:v>
                </c:pt>
                <c:pt idx="166">
                  <c:v>-4</c:v>
                </c:pt>
                <c:pt idx="167">
                  <c:v>-4</c:v>
                </c:pt>
                <c:pt idx="168">
                  <c:v>-4</c:v>
                </c:pt>
                <c:pt idx="169">
                  <c:v>-4</c:v>
                </c:pt>
                <c:pt idx="170">
                  <c:v>-4</c:v>
                </c:pt>
                <c:pt idx="171">
                  <c:v>-4</c:v>
                </c:pt>
                <c:pt idx="172">
                  <c:v>-4</c:v>
                </c:pt>
                <c:pt idx="173">
                  <c:v>-4</c:v>
                </c:pt>
                <c:pt idx="174">
                  <c:v>-4</c:v>
                </c:pt>
                <c:pt idx="175">
                  <c:v>-4</c:v>
                </c:pt>
                <c:pt idx="176">
                  <c:v>-4</c:v>
                </c:pt>
                <c:pt idx="177">
                  <c:v>-4</c:v>
                </c:pt>
                <c:pt idx="178">
                  <c:v>-4</c:v>
                </c:pt>
                <c:pt idx="179">
                  <c:v>-4</c:v>
                </c:pt>
                <c:pt idx="180">
                  <c:v>-4</c:v>
                </c:pt>
                <c:pt idx="181">
                  <c:v>-4</c:v>
                </c:pt>
                <c:pt idx="182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35-43D9-A9C8-5A8A987D3A40}"/>
            </c:ext>
          </c:extLst>
        </c:ser>
        <c:ser>
          <c:idx val="7"/>
          <c:order val="7"/>
          <c:tx>
            <c:strRef>
              <c:f>Tabelle1!$I$1</c:f>
              <c:strCache>
                <c:ptCount val="1"/>
                <c:pt idx="0">
                  <c:v>Vin_max</c:v>
                </c:pt>
              </c:strCache>
            </c:strRef>
          </c:tx>
          <c:spPr>
            <a:ln w="28575" cap="rnd" cmpd="sng">
              <a:solidFill>
                <a:schemeClr val="accent1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Tabelle1!$I$2:$I$184</c:f>
              <c:numCache>
                <c:formatCode>General</c:formatCode>
                <c:ptCount val="18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35-43D9-A9C8-5A8A987D3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317151"/>
        <c:axId val="814303711"/>
      </c:lineChart>
      <c:catAx>
        <c:axId val="81431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14303711"/>
        <c:crosses val="autoZero"/>
        <c:auto val="1"/>
        <c:lblAlgn val="ctr"/>
        <c:lblOffset val="100"/>
        <c:noMultiLvlLbl val="0"/>
      </c:catAx>
      <c:valAx>
        <c:axId val="81430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1431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160020</xdr:colOff>
      <xdr:row>10</xdr:row>
      <xdr:rowOff>26670</xdr:rowOff>
    </xdr:from>
    <xdr:to>
      <xdr:col>18</xdr:col>
      <xdr:colOff>556260</xdr:colOff>
      <xdr:row>35</xdr:row>
      <xdr:rowOff>22860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747769A-3FA1-E72F-3F30-583DE808B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E9A6-AF99-43E8-ABA5-B75758248A30}">
  <dimension ref="A1:O184"/>
  <sheetViews>
    <sheetView tabSelected="1" workbookViewId="0">
      <selection activeCell="L4" sqref="L4"/>
    </sheetView>
  </sheetViews>
  <sheetFormatPr baseColWidth="10" defaultRowHeight="15" x14ac:dyDescent="0.25"/>
  <cols>
    <col min="2" max="2" width="12.7109375" bestFit="1" customWidth="1"/>
  </cols>
  <sheetData>
    <row r="1" spans="1:15" x14ac:dyDescent="0.25">
      <c r="A1" t="s">
        <v>3</v>
      </c>
      <c r="B1" t="s">
        <v>17</v>
      </c>
      <c r="C1" t="s">
        <v>16</v>
      </c>
      <c r="D1" t="s">
        <v>8</v>
      </c>
      <c r="E1" t="s">
        <v>0</v>
      </c>
      <c r="F1" t="s">
        <v>1</v>
      </c>
      <c r="G1" t="s">
        <v>2</v>
      </c>
      <c r="H1" t="s">
        <v>14</v>
      </c>
      <c r="I1" t="s">
        <v>15</v>
      </c>
      <c r="K1" t="s">
        <v>4</v>
      </c>
      <c r="L1">
        <v>5</v>
      </c>
      <c r="N1" t="s">
        <v>16</v>
      </c>
      <c r="O1">
        <f>L5</f>
        <v>2.5</v>
      </c>
    </row>
    <row r="2" spans="1:15" x14ac:dyDescent="0.25">
      <c r="A2">
        <v>0.01</v>
      </c>
      <c r="B2">
        <f>$L$6*SIN(2*PI()*1*A2)+$L$5</f>
        <v>2.6255810390586269</v>
      </c>
      <c r="C2">
        <f>$O$1</f>
        <v>2.5</v>
      </c>
      <c r="D2">
        <f>B2-C2</f>
        <v>0.12558103905862694</v>
      </c>
      <c r="E2">
        <f>(B2+C2)/2</f>
        <v>2.5627905195293135</v>
      </c>
      <c r="F2">
        <f t="shared" ref="F2:F33" si="0">$L$2+0.3+($L$3*$L$4)/2</f>
        <v>1.3</v>
      </c>
      <c r="G2">
        <f>$L$1-0.3-($L$3*$L$4)/2</f>
        <v>3.7</v>
      </c>
      <c r="H2">
        <f>-$L$7/$L$3</f>
        <v>-4</v>
      </c>
      <c r="I2">
        <f>$L$7/$L$3</f>
        <v>4</v>
      </c>
      <c r="K2" t="s">
        <v>5</v>
      </c>
      <c r="L2">
        <v>0</v>
      </c>
    </row>
    <row r="3" spans="1:15" x14ac:dyDescent="0.25">
      <c r="A3">
        <v>0.02</v>
      </c>
      <c r="B3">
        <f t="shared" ref="B3:B66" si="1">$L$6*SIN(2*PI()*1*A3)+$L$5</f>
        <v>2.7506664671286085</v>
      </c>
      <c r="C3">
        <f t="shared" ref="C3:C66" si="2">$O$1</f>
        <v>2.5</v>
      </c>
      <c r="D3">
        <f t="shared" ref="D3:D66" si="3">B3-C3</f>
        <v>0.25066646712860852</v>
      </c>
      <c r="E3">
        <f t="shared" ref="E3:E66" si="4">(B3+C3)/2</f>
        <v>2.6253332335643043</v>
      </c>
      <c r="F3">
        <f t="shared" si="0"/>
        <v>1.3</v>
      </c>
      <c r="G3">
        <f t="shared" ref="G3:G66" si="5">$L$1-0.3-($L$3*$L$4)/2</f>
        <v>3.7</v>
      </c>
      <c r="H3">
        <f t="shared" ref="H3:H66" si="6">-$L$7/$L$3</f>
        <v>-4</v>
      </c>
      <c r="I3">
        <f t="shared" ref="I3:I66" si="7">$L$7/$L$3</f>
        <v>4</v>
      </c>
      <c r="K3" t="s">
        <v>6</v>
      </c>
      <c r="L3">
        <v>1</v>
      </c>
    </row>
    <row r="4" spans="1:15" x14ac:dyDescent="0.25">
      <c r="A4">
        <v>0.03</v>
      </c>
      <c r="B4">
        <f t="shared" si="1"/>
        <v>2.8747626291714492</v>
      </c>
      <c r="C4">
        <f t="shared" si="2"/>
        <v>2.5</v>
      </c>
      <c r="D4">
        <f t="shared" si="3"/>
        <v>0.3747626291714492</v>
      </c>
      <c r="E4">
        <f t="shared" si="4"/>
        <v>2.6873813145857248</v>
      </c>
      <c r="F4">
        <f t="shared" si="0"/>
        <v>1.3</v>
      </c>
      <c r="G4">
        <f t="shared" si="5"/>
        <v>3.7</v>
      </c>
      <c r="H4">
        <f t="shared" si="6"/>
        <v>-4</v>
      </c>
      <c r="I4">
        <f t="shared" si="7"/>
        <v>4</v>
      </c>
      <c r="K4" t="s">
        <v>7</v>
      </c>
      <c r="L4" cm="1">
        <f t="array" ref="L4">MAX(ABS(D2:D184))</f>
        <v>2</v>
      </c>
      <c r="M4" t="s">
        <v>11</v>
      </c>
    </row>
    <row r="5" spans="1:15" x14ac:dyDescent="0.25">
      <c r="A5">
        <v>0.04</v>
      </c>
      <c r="B5">
        <f t="shared" si="1"/>
        <v>2.9973797743297097</v>
      </c>
      <c r="C5">
        <f t="shared" si="2"/>
        <v>2.5</v>
      </c>
      <c r="D5">
        <f t="shared" si="3"/>
        <v>0.4973797743297097</v>
      </c>
      <c r="E5">
        <f t="shared" si="4"/>
        <v>2.7486898871648551</v>
      </c>
      <c r="F5">
        <f t="shared" si="0"/>
        <v>1.3</v>
      </c>
      <c r="G5">
        <f t="shared" si="5"/>
        <v>3.7</v>
      </c>
      <c r="H5">
        <f t="shared" si="6"/>
        <v>-4</v>
      </c>
      <c r="I5">
        <f t="shared" si="7"/>
        <v>4</v>
      </c>
      <c r="K5" t="s">
        <v>9</v>
      </c>
      <c r="L5">
        <f>(L1+L2)/2</f>
        <v>2.5</v>
      </c>
      <c r="M5" t="s">
        <v>12</v>
      </c>
    </row>
    <row r="6" spans="1:15" x14ac:dyDescent="0.25">
      <c r="A6">
        <v>0.05</v>
      </c>
      <c r="B6">
        <f t="shared" si="1"/>
        <v>3.1180339887498949</v>
      </c>
      <c r="C6">
        <f t="shared" si="2"/>
        <v>2.5</v>
      </c>
      <c r="D6">
        <f t="shared" si="3"/>
        <v>0.6180339887498949</v>
      </c>
      <c r="E6">
        <f t="shared" si="4"/>
        <v>2.8090169943749475</v>
      </c>
      <c r="F6">
        <f t="shared" si="0"/>
        <v>1.3</v>
      </c>
      <c r="G6">
        <f t="shared" si="5"/>
        <v>3.7</v>
      </c>
      <c r="H6">
        <f t="shared" si="6"/>
        <v>-4</v>
      </c>
      <c r="I6">
        <f t="shared" si="7"/>
        <v>4</v>
      </c>
      <c r="K6" t="s">
        <v>10</v>
      </c>
      <c r="L6">
        <v>2</v>
      </c>
    </row>
    <row r="7" spans="1:15" x14ac:dyDescent="0.25">
      <c r="A7">
        <v>0.06</v>
      </c>
      <c r="B7">
        <f t="shared" si="1"/>
        <v>3.2362491053693558</v>
      </c>
      <c r="C7">
        <f t="shared" si="2"/>
        <v>2.5</v>
      </c>
      <c r="D7">
        <f t="shared" si="3"/>
        <v>0.73624910536935584</v>
      </c>
      <c r="E7">
        <f t="shared" si="4"/>
        <v>2.8681245526846779</v>
      </c>
      <c r="F7">
        <f t="shared" si="0"/>
        <v>1.3</v>
      </c>
      <c r="G7">
        <f t="shared" si="5"/>
        <v>3.7</v>
      </c>
      <c r="H7">
        <f t="shared" si="6"/>
        <v>-4</v>
      </c>
      <c r="I7">
        <f t="shared" si="7"/>
        <v>4</v>
      </c>
      <c r="K7" t="s">
        <v>13</v>
      </c>
      <c r="L7">
        <v>4</v>
      </c>
    </row>
    <row r="8" spans="1:15" x14ac:dyDescent="0.25">
      <c r="A8">
        <v>7.0000000000000007E-2</v>
      </c>
      <c r="B8">
        <f t="shared" si="1"/>
        <v>3.3515585831301453</v>
      </c>
      <c r="C8">
        <f t="shared" si="2"/>
        <v>2.5</v>
      </c>
      <c r="D8">
        <f t="shared" si="3"/>
        <v>0.85155858313014532</v>
      </c>
      <c r="E8">
        <f t="shared" si="4"/>
        <v>2.9257792915650729</v>
      </c>
      <c r="F8">
        <f t="shared" si="0"/>
        <v>1.3</v>
      </c>
      <c r="G8">
        <f t="shared" si="5"/>
        <v>3.7</v>
      </c>
      <c r="H8">
        <f t="shared" si="6"/>
        <v>-4</v>
      </c>
      <c r="I8">
        <f t="shared" si="7"/>
        <v>4</v>
      </c>
    </row>
    <row r="9" spans="1:15" x14ac:dyDescent="0.25">
      <c r="A9">
        <v>0.08</v>
      </c>
      <c r="B9">
        <f t="shared" si="1"/>
        <v>3.4635073482034304</v>
      </c>
      <c r="C9">
        <f t="shared" si="2"/>
        <v>2.5</v>
      </c>
      <c r="D9">
        <f t="shared" si="3"/>
        <v>0.96350734820343042</v>
      </c>
      <c r="E9">
        <f t="shared" si="4"/>
        <v>2.9817536741017152</v>
      </c>
      <c r="F9">
        <f t="shared" si="0"/>
        <v>1.3</v>
      </c>
      <c r="G9">
        <f t="shared" si="5"/>
        <v>3.7</v>
      </c>
      <c r="H9">
        <f t="shared" si="6"/>
        <v>-4</v>
      </c>
      <c r="I9">
        <f t="shared" si="7"/>
        <v>4</v>
      </c>
    </row>
    <row r="10" spans="1:15" x14ac:dyDescent="0.25">
      <c r="A10">
        <v>0.09</v>
      </c>
      <c r="B10">
        <f t="shared" si="1"/>
        <v>3.5716535899579931</v>
      </c>
      <c r="C10">
        <f t="shared" si="2"/>
        <v>2.5</v>
      </c>
      <c r="D10">
        <f t="shared" si="3"/>
        <v>1.0716535899579931</v>
      </c>
      <c r="E10">
        <f t="shared" si="4"/>
        <v>3.0358267949789965</v>
      </c>
      <c r="F10">
        <f t="shared" si="0"/>
        <v>1.3</v>
      </c>
      <c r="G10">
        <f t="shared" si="5"/>
        <v>3.7</v>
      </c>
      <c r="H10">
        <f t="shared" si="6"/>
        <v>-4</v>
      </c>
      <c r="I10">
        <f t="shared" si="7"/>
        <v>4</v>
      </c>
    </row>
    <row r="11" spans="1:15" x14ac:dyDescent="0.25">
      <c r="A11">
        <v>0.1</v>
      </c>
      <c r="B11">
        <f t="shared" si="1"/>
        <v>3.6755705045849463</v>
      </c>
      <c r="C11">
        <f t="shared" si="2"/>
        <v>2.5</v>
      </c>
      <c r="D11">
        <f t="shared" si="3"/>
        <v>1.1755705045849463</v>
      </c>
      <c r="E11">
        <f t="shared" si="4"/>
        <v>3.0877852522924734</v>
      </c>
      <c r="F11">
        <f t="shared" si="0"/>
        <v>1.3</v>
      </c>
      <c r="G11">
        <f t="shared" si="5"/>
        <v>3.7</v>
      </c>
      <c r="H11">
        <f t="shared" si="6"/>
        <v>-4</v>
      </c>
      <c r="I11">
        <f t="shared" si="7"/>
        <v>4</v>
      </c>
    </row>
    <row r="12" spans="1:15" x14ac:dyDescent="0.25">
      <c r="A12">
        <v>0.11</v>
      </c>
      <c r="B12">
        <f t="shared" si="1"/>
        <v>3.7748479794973795</v>
      </c>
      <c r="C12">
        <f t="shared" si="2"/>
        <v>2.5</v>
      </c>
      <c r="D12">
        <f t="shared" si="3"/>
        <v>1.2748479794973795</v>
      </c>
      <c r="E12">
        <f t="shared" si="4"/>
        <v>3.1374239897486897</v>
      </c>
      <c r="F12">
        <f t="shared" si="0"/>
        <v>1.3</v>
      </c>
      <c r="G12">
        <f t="shared" si="5"/>
        <v>3.7</v>
      </c>
      <c r="H12">
        <f t="shared" si="6"/>
        <v>-4</v>
      </c>
      <c r="I12">
        <f t="shared" si="7"/>
        <v>4</v>
      </c>
    </row>
    <row r="13" spans="1:15" x14ac:dyDescent="0.25">
      <c r="A13">
        <v>0.12</v>
      </c>
      <c r="B13">
        <f t="shared" si="1"/>
        <v>3.8690942118573775</v>
      </c>
      <c r="C13">
        <f t="shared" si="2"/>
        <v>2.5</v>
      </c>
      <c r="D13">
        <f t="shared" si="3"/>
        <v>1.3690942118573775</v>
      </c>
      <c r="E13">
        <f t="shared" si="4"/>
        <v>3.1845471059286887</v>
      </c>
      <c r="F13">
        <f t="shared" si="0"/>
        <v>1.3</v>
      </c>
      <c r="G13">
        <f t="shared" si="5"/>
        <v>3.7</v>
      </c>
      <c r="H13">
        <f t="shared" si="6"/>
        <v>-4</v>
      </c>
      <c r="I13">
        <f t="shared" si="7"/>
        <v>4</v>
      </c>
    </row>
    <row r="14" spans="1:15" x14ac:dyDescent="0.25">
      <c r="A14">
        <v>0.13</v>
      </c>
      <c r="B14">
        <f t="shared" si="1"/>
        <v>3.9579372548428231</v>
      </c>
      <c r="C14">
        <f t="shared" si="2"/>
        <v>2.5</v>
      </c>
      <c r="D14">
        <f t="shared" si="3"/>
        <v>1.4579372548428231</v>
      </c>
      <c r="E14">
        <f t="shared" si="4"/>
        <v>3.2289686274214118</v>
      </c>
      <c r="F14">
        <f t="shared" si="0"/>
        <v>1.3</v>
      </c>
      <c r="G14">
        <f t="shared" si="5"/>
        <v>3.7</v>
      </c>
      <c r="H14">
        <f t="shared" si="6"/>
        <v>-4</v>
      </c>
      <c r="I14">
        <f t="shared" si="7"/>
        <v>4</v>
      </c>
    </row>
    <row r="15" spans="1:15" x14ac:dyDescent="0.25">
      <c r="A15">
        <v>0.14000000000000001</v>
      </c>
      <c r="B15">
        <f t="shared" si="1"/>
        <v>4.0410264855515781</v>
      </c>
      <c r="C15">
        <f t="shared" si="2"/>
        <v>2.5</v>
      </c>
      <c r="D15">
        <f t="shared" si="3"/>
        <v>1.5410264855515781</v>
      </c>
      <c r="E15">
        <f t="shared" si="4"/>
        <v>3.270513242775789</v>
      </c>
      <c r="F15">
        <f t="shared" si="0"/>
        <v>1.3</v>
      </c>
      <c r="G15">
        <f t="shared" si="5"/>
        <v>3.7</v>
      </c>
      <c r="H15">
        <f t="shared" si="6"/>
        <v>-4</v>
      </c>
      <c r="I15">
        <f t="shared" si="7"/>
        <v>4</v>
      </c>
    </row>
    <row r="16" spans="1:15" x14ac:dyDescent="0.25">
      <c r="A16">
        <v>0.15</v>
      </c>
      <c r="B16">
        <f t="shared" si="1"/>
        <v>4.1180339887498949</v>
      </c>
      <c r="C16">
        <f t="shared" si="2"/>
        <v>2.5</v>
      </c>
      <c r="D16">
        <f t="shared" si="3"/>
        <v>1.6180339887498949</v>
      </c>
      <c r="E16">
        <f t="shared" si="4"/>
        <v>3.3090169943749475</v>
      </c>
      <c r="F16">
        <f t="shared" si="0"/>
        <v>1.3</v>
      </c>
      <c r="G16">
        <f t="shared" si="5"/>
        <v>3.7</v>
      </c>
      <c r="H16">
        <f t="shared" si="6"/>
        <v>-4</v>
      </c>
      <c r="I16">
        <f t="shared" si="7"/>
        <v>4</v>
      </c>
    </row>
    <row r="17" spans="1:9" x14ac:dyDescent="0.25">
      <c r="A17">
        <v>0.16</v>
      </c>
      <c r="B17">
        <f t="shared" si="1"/>
        <v>4.1886558510040306</v>
      </c>
      <c r="C17">
        <f t="shared" si="2"/>
        <v>2.5</v>
      </c>
      <c r="D17">
        <f t="shared" si="3"/>
        <v>1.6886558510040306</v>
      </c>
      <c r="E17">
        <f t="shared" si="4"/>
        <v>3.3443279255020153</v>
      </c>
      <c r="F17">
        <f t="shared" si="0"/>
        <v>1.3</v>
      </c>
      <c r="G17">
        <f t="shared" si="5"/>
        <v>3.7</v>
      </c>
      <c r="H17">
        <f t="shared" si="6"/>
        <v>-4</v>
      </c>
      <c r="I17">
        <f t="shared" si="7"/>
        <v>4</v>
      </c>
    </row>
    <row r="18" spans="1:9" x14ac:dyDescent="0.25">
      <c r="A18">
        <v>0.17</v>
      </c>
      <c r="B18">
        <f t="shared" si="1"/>
        <v>4.2526133600877269</v>
      </c>
      <c r="C18">
        <f t="shared" si="2"/>
        <v>2.5</v>
      </c>
      <c r="D18">
        <f t="shared" si="3"/>
        <v>1.7526133600877269</v>
      </c>
      <c r="E18">
        <f t="shared" si="4"/>
        <v>3.3763066800438635</v>
      </c>
      <c r="F18">
        <f t="shared" si="0"/>
        <v>1.3</v>
      </c>
      <c r="G18">
        <f t="shared" si="5"/>
        <v>3.7</v>
      </c>
      <c r="H18">
        <f t="shared" si="6"/>
        <v>-4</v>
      </c>
      <c r="I18">
        <f t="shared" si="7"/>
        <v>4</v>
      </c>
    </row>
    <row r="19" spans="1:9" x14ac:dyDescent="0.25">
      <c r="A19">
        <v>0.18</v>
      </c>
      <c r="B19">
        <f t="shared" si="1"/>
        <v>4.3096541049320392</v>
      </c>
      <c r="C19">
        <f t="shared" si="2"/>
        <v>2.5</v>
      </c>
      <c r="D19">
        <f t="shared" si="3"/>
        <v>1.8096541049320392</v>
      </c>
      <c r="E19">
        <f t="shared" si="4"/>
        <v>3.4048270524660196</v>
      </c>
      <c r="F19">
        <f t="shared" si="0"/>
        <v>1.3</v>
      </c>
      <c r="G19">
        <f t="shared" si="5"/>
        <v>3.7</v>
      </c>
      <c r="H19">
        <f t="shared" si="6"/>
        <v>-4</v>
      </c>
      <c r="I19">
        <f t="shared" si="7"/>
        <v>4</v>
      </c>
    </row>
    <row r="20" spans="1:9" x14ac:dyDescent="0.25">
      <c r="A20">
        <v>0.19</v>
      </c>
      <c r="B20">
        <f t="shared" si="1"/>
        <v>4.3595529717765027</v>
      </c>
      <c r="C20">
        <f t="shared" si="2"/>
        <v>2.5</v>
      </c>
      <c r="D20">
        <f t="shared" si="3"/>
        <v>1.8595529717765027</v>
      </c>
      <c r="E20">
        <f t="shared" si="4"/>
        <v>3.4297764858882513</v>
      </c>
      <c r="F20">
        <f t="shared" si="0"/>
        <v>1.3</v>
      </c>
      <c r="G20">
        <f t="shared" si="5"/>
        <v>3.7</v>
      </c>
      <c r="H20">
        <f t="shared" si="6"/>
        <v>-4</v>
      </c>
      <c r="I20">
        <f t="shared" si="7"/>
        <v>4</v>
      </c>
    </row>
    <row r="21" spans="1:9" x14ac:dyDescent="0.25">
      <c r="A21">
        <v>0.2</v>
      </c>
      <c r="B21">
        <f t="shared" si="1"/>
        <v>4.4021130325903073</v>
      </c>
      <c r="C21">
        <f t="shared" si="2"/>
        <v>2.5</v>
      </c>
      <c r="D21">
        <f t="shared" si="3"/>
        <v>1.9021130325903073</v>
      </c>
      <c r="E21">
        <f t="shared" si="4"/>
        <v>3.4510565162951536</v>
      </c>
      <c r="F21">
        <f t="shared" si="0"/>
        <v>1.3</v>
      </c>
      <c r="G21">
        <f t="shared" si="5"/>
        <v>3.7</v>
      </c>
      <c r="H21">
        <f t="shared" si="6"/>
        <v>-4</v>
      </c>
      <c r="I21">
        <f t="shared" si="7"/>
        <v>4</v>
      </c>
    </row>
    <row r="22" spans="1:9" x14ac:dyDescent="0.25">
      <c r="A22">
        <v>0.21</v>
      </c>
      <c r="B22">
        <f t="shared" si="1"/>
        <v>4.4371663222572622</v>
      </c>
      <c r="C22">
        <f t="shared" si="2"/>
        <v>2.5</v>
      </c>
      <c r="D22">
        <f t="shared" si="3"/>
        <v>1.9371663222572622</v>
      </c>
      <c r="E22">
        <f t="shared" si="4"/>
        <v>3.4685831611286311</v>
      </c>
      <c r="F22">
        <f t="shared" si="0"/>
        <v>1.3</v>
      </c>
      <c r="G22">
        <f t="shared" si="5"/>
        <v>3.7</v>
      </c>
      <c r="H22">
        <f t="shared" si="6"/>
        <v>-4</v>
      </c>
      <c r="I22">
        <f t="shared" si="7"/>
        <v>4</v>
      </c>
    </row>
    <row r="23" spans="1:9" x14ac:dyDescent="0.25">
      <c r="A23">
        <v>0.22</v>
      </c>
      <c r="B23">
        <f t="shared" si="1"/>
        <v>4.4645745014573777</v>
      </c>
      <c r="C23">
        <f t="shared" si="2"/>
        <v>2.5</v>
      </c>
      <c r="D23">
        <f t="shared" si="3"/>
        <v>1.9645745014573777</v>
      </c>
      <c r="E23">
        <f t="shared" si="4"/>
        <v>3.4822872507286888</v>
      </c>
      <c r="F23">
        <f t="shared" si="0"/>
        <v>1.3</v>
      </c>
      <c r="G23">
        <f t="shared" si="5"/>
        <v>3.7</v>
      </c>
      <c r="H23">
        <f t="shared" si="6"/>
        <v>-4</v>
      </c>
      <c r="I23">
        <f t="shared" si="7"/>
        <v>4</v>
      </c>
    </row>
    <row r="24" spans="1:9" x14ac:dyDescent="0.25">
      <c r="A24">
        <v>0.23</v>
      </c>
      <c r="B24">
        <f t="shared" si="1"/>
        <v>4.484229402628956</v>
      </c>
      <c r="C24">
        <f t="shared" si="2"/>
        <v>2.5</v>
      </c>
      <c r="D24">
        <f t="shared" si="3"/>
        <v>1.984229402628956</v>
      </c>
      <c r="E24">
        <f t="shared" si="4"/>
        <v>3.492114701314478</v>
      </c>
      <c r="F24">
        <f t="shared" si="0"/>
        <v>1.3</v>
      </c>
      <c r="G24">
        <f t="shared" si="5"/>
        <v>3.7</v>
      </c>
      <c r="H24">
        <f t="shared" si="6"/>
        <v>-4</v>
      </c>
      <c r="I24">
        <f t="shared" si="7"/>
        <v>4</v>
      </c>
    </row>
    <row r="25" spans="1:9" x14ac:dyDescent="0.25">
      <c r="A25">
        <v>0.24</v>
      </c>
      <c r="B25">
        <f t="shared" si="1"/>
        <v>4.4960534568565436</v>
      </c>
      <c r="C25">
        <f t="shared" si="2"/>
        <v>2.5</v>
      </c>
      <c r="D25">
        <f t="shared" si="3"/>
        <v>1.9960534568565436</v>
      </c>
      <c r="E25">
        <f t="shared" si="4"/>
        <v>3.4980267284282718</v>
      </c>
      <c r="F25">
        <f t="shared" si="0"/>
        <v>1.3</v>
      </c>
      <c r="G25">
        <f t="shared" si="5"/>
        <v>3.7</v>
      </c>
      <c r="H25">
        <f t="shared" si="6"/>
        <v>-4</v>
      </c>
      <c r="I25">
        <f t="shared" si="7"/>
        <v>4</v>
      </c>
    </row>
    <row r="26" spans="1:9" x14ac:dyDescent="0.25">
      <c r="A26">
        <v>0.25</v>
      </c>
      <c r="B26">
        <f t="shared" si="1"/>
        <v>4.5</v>
      </c>
      <c r="C26">
        <f t="shared" si="2"/>
        <v>2.5</v>
      </c>
      <c r="D26">
        <f t="shared" si="3"/>
        <v>2</v>
      </c>
      <c r="E26">
        <f t="shared" si="4"/>
        <v>3.5</v>
      </c>
      <c r="F26">
        <f t="shared" si="0"/>
        <v>1.3</v>
      </c>
      <c r="G26">
        <f t="shared" si="5"/>
        <v>3.7</v>
      </c>
      <c r="H26">
        <f t="shared" si="6"/>
        <v>-4</v>
      </c>
      <c r="I26">
        <f t="shared" si="7"/>
        <v>4</v>
      </c>
    </row>
    <row r="27" spans="1:9" x14ac:dyDescent="0.25">
      <c r="A27">
        <v>0.26</v>
      </c>
      <c r="B27">
        <f t="shared" si="1"/>
        <v>4.4960534568565436</v>
      </c>
      <c r="C27">
        <f t="shared" si="2"/>
        <v>2.5</v>
      </c>
      <c r="D27">
        <f t="shared" si="3"/>
        <v>1.9960534568565436</v>
      </c>
      <c r="E27">
        <f t="shared" si="4"/>
        <v>3.4980267284282718</v>
      </c>
      <c r="F27">
        <f t="shared" si="0"/>
        <v>1.3</v>
      </c>
      <c r="G27">
        <f t="shared" si="5"/>
        <v>3.7</v>
      </c>
      <c r="H27">
        <f t="shared" si="6"/>
        <v>-4</v>
      </c>
      <c r="I27">
        <f t="shared" si="7"/>
        <v>4</v>
      </c>
    </row>
    <row r="28" spans="1:9" x14ac:dyDescent="0.25">
      <c r="A28">
        <v>0.27</v>
      </c>
      <c r="B28">
        <f t="shared" si="1"/>
        <v>4.4842294026289551</v>
      </c>
      <c r="C28">
        <f t="shared" si="2"/>
        <v>2.5</v>
      </c>
      <c r="D28">
        <f t="shared" si="3"/>
        <v>1.9842294026289551</v>
      </c>
      <c r="E28">
        <f t="shared" si="4"/>
        <v>3.4921147013144775</v>
      </c>
      <c r="F28">
        <f t="shared" si="0"/>
        <v>1.3</v>
      </c>
      <c r="G28">
        <f t="shared" si="5"/>
        <v>3.7</v>
      </c>
      <c r="H28">
        <f t="shared" si="6"/>
        <v>-4</v>
      </c>
      <c r="I28">
        <f t="shared" si="7"/>
        <v>4</v>
      </c>
    </row>
    <row r="29" spans="1:9" x14ac:dyDescent="0.25">
      <c r="A29">
        <v>0.28000000000000003</v>
      </c>
      <c r="B29">
        <f t="shared" si="1"/>
        <v>4.4645745014573777</v>
      </c>
      <c r="C29">
        <f t="shared" si="2"/>
        <v>2.5</v>
      </c>
      <c r="D29">
        <f t="shared" si="3"/>
        <v>1.9645745014573777</v>
      </c>
      <c r="E29">
        <f t="shared" si="4"/>
        <v>3.4822872507286888</v>
      </c>
      <c r="F29">
        <f t="shared" si="0"/>
        <v>1.3</v>
      </c>
      <c r="G29">
        <f t="shared" si="5"/>
        <v>3.7</v>
      </c>
      <c r="H29">
        <f t="shared" si="6"/>
        <v>-4</v>
      </c>
      <c r="I29">
        <f t="shared" si="7"/>
        <v>4</v>
      </c>
    </row>
    <row r="30" spans="1:9" x14ac:dyDescent="0.25">
      <c r="A30">
        <v>0.28999999999999998</v>
      </c>
      <c r="B30">
        <f t="shared" si="1"/>
        <v>4.4371663222572622</v>
      </c>
      <c r="C30">
        <f t="shared" si="2"/>
        <v>2.5</v>
      </c>
      <c r="D30">
        <f t="shared" si="3"/>
        <v>1.9371663222572622</v>
      </c>
      <c r="E30">
        <f t="shared" si="4"/>
        <v>3.4685831611286311</v>
      </c>
      <c r="F30">
        <f t="shared" si="0"/>
        <v>1.3</v>
      </c>
      <c r="G30">
        <f t="shared" si="5"/>
        <v>3.7</v>
      </c>
      <c r="H30">
        <f t="shared" si="6"/>
        <v>-4</v>
      </c>
      <c r="I30">
        <f t="shared" si="7"/>
        <v>4</v>
      </c>
    </row>
    <row r="31" spans="1:9" x14ac:dyDescent="0.25">
      <c r="A31">
        <v>0.3</v>
      </c>
      <c r="B31">
        <f t="shared" si="1"/>
        <v>4.4021130325903073</v>
      </c>
      <c r="C31">
        <f t="shared" si="2"/>
        <v>2.5</v>
      </c>
      <c r="D31">
        <f t="shared" si="3"/>
        <v>1.9021130325903073</v>
      </c>
      <c r="E31">
        <f t="shared" si="4"/>
        <v>3.4510565162951536</v>
      </c>
      <c r="F31">
        <f t="shared" si="0"/>
        <v>1.3</v>
      </c>
      <c r="G31">
        <f t="shared" si="5"/>
        <v>3.7</v>
      </c>
      <c r="H31">
        <f t="shared" si="6"/>
        <v>-4</v>
      </c>
      <c r="I31">
        <f t="shared" si="7"/>
        <v>4</v>
      </c>
    </row>
    <row r="32" spans="1:9" x14ac:dyDescent="0.25">
      <c r="A32">
        <v>0.31</v>
      </c>
      <c r="B32">
        <f t="shared" si="1"/>
        <v>4.3595529717765027</v>
      </c>
      <c r="C32">
        <f t="shared" si="2"/>
        <v>2.5</v>
      </c>
      <c r="D32">
        <f t="shared" si="3"/>
        <v>1.8595529717765027</v>
      </c>
      <c r="E32">
        <f t="shared" si="4"/>
        <v>3.4297764858882513</v>
      </c>
      <c r="F32">
        <f t="shared" si="0"/>
        <v>1.3</v>
      </c>
      <c r="G32">
        <f t="shared" si="5"/>
        <v>3.7</v>
      </c>
      <c r="H32">
        <f t="shared" si="6"/>
        <v>-4</v>
      </c>
      <c r="I32">
        <f t="shared" si="7"/>
        <v>4</v>
      </c>
    </row>
    <row r="33" spans="1:13" x14ac:dyDescent="0.25">
      <c r="A33">
        <v>0.32</v>
      </c>
      <c r="B33">
        <f t="shared" si="1"/>
        <v>4.3096541049320392</v>
      </c>
      <c r="C33">
        <f t="shared" si="2"/>
        <v>2.5</v>
      </c>
      <c r="D33">
        <f t="shared" si="3"/>
        <v>1.8096541049320392</v>
      </c>
      <c r="E33">
        <f t="shared" si="4"/>
        <v>3.4048270524660196</v>
      </c>
      <c r="F33">
        <f t="shared" si="0"/>
        <v>1.3</v>
      </c>
      <c r="G33">
        <f t="shared" si="5"/>
        <v>3.7</v>
      </c>
      <c r="H33">
        <f t="shared" si="6"/>
        <v>-4</v>
      </c>
      <c r="I33">
        <f t="shared" si="7"/>
        <v>4</v>
      </c>
    </row>
    <row r="34" spans="1:13" x14ac:dyDescent="0.25">
      <c r="A34">
        <v>0.33</v>
      </c>
      <c r="B34">
        <f t="shared" si="1"/>
        <v>4.2526133600877269</v>
      </c>
      <c r="C34">
        <f t="shared" si="2"/>
        <v>2.5</v>
      </c>
      <c r="D34">
        <f t="shared" si="3"/>
        <v>1.7526133600877269</v>
      </c>
      <c r="E34">
        <f t="shared" si="4"/>
        <v>3.3763066800438635</v>
      </c>
      <c r="F34">
        <f t="shared" ref="F34:F65" si="8">$L$2+0.3+($L$3*$L$4)/2</f>
        <v>1.3</v>
      </c>
      <c r="G34">
        <f t="shared" si="5"/>
        <v>3.7</v>
      </c>
      <c r="H34">
        <f t="shared" si="6"/>
        <v>-4</v>
      </c>
      <c r="I34">
        <f t="shared" si="7"/>
        <v>4</v>
      </c>
    </row>
    <row r="35" spans="1:13" x14ac:dyDescent="0.25">
      <c r="A35">
        <v>0.34</v>
      </c>
      <c r="B35">
        <f t="shared" si="1"/>
        <v>4.1886558510040297</v>
      </c>
      <c r="C35">
        <f t="shared" si="2"/>
        <v>2.5</v>
      </c>
      <c r="D35">
        <f t="shared" si="3"/>
        <v>1.6886558510040297</v>
      </c>
      <c r="E35">
        <f t="shared" si="4"/>
        <v>3.3443279255020149</v>
      </c>
      <c r="F35">
        <f t="shared" si="8"/>
        <v>1.3</v>
      </c>
      <c r="G35">
        <f t="shared" si="5"/>
        <v>3.7</v>
      </c>
      <c r="H35">
        <f t="shared" si="6"/>
        <v>-4</v>
      </c>
      <c r="I35">
        <f t="shared" si="7"/>
        <v>4</v>
      </c>
    </row>
    <row r="36" spans="1:13" x14ac:dyDescent="0.25">
      <c r="A36">
        <v>0.35</v>
      </c>
      <c r="B36">
        <f t="shared" si="1"/>
        <v>4.1180339887498949</v>
      </c>
      <c r="C36">
        <f t="shared" si="2"/>
        <v>2.5</v>
      </c>
      <c r="D36">
        <f t="shared" si="3"/>
        <v>1.6180339887498949</v>
      </c>
      <c r="E36">
        <f t="shared" si="4"/>
        <v>3.3090169943749475</v>
      </c>
      <c r="F36">
        <f t="shared" si="8"/>
        <v>1.3</v>
      </c>
      <c r="G36">
        <f t="shared" si="5"/>
        <v>3.7</v>
      </c>
      <c r="H36">
        <f t="shared" si="6"/>
        <v>-4</v>
      </c>
      <c r="I36">
        <f t="shared" si="7"/>
        <v>4</v>
      </c>
    </row>
    <row r="37" spans="1:13" x14ac:dyDescent="0.25">
      <c r="A37">
        <v>0.36</v>
      </c>
      <c r="B37">
        <f t="shared" si="1"/>
        <v>4.0410264855515781</v>
      </c>
      <c r="C37">
        <f t="shared" si="2"/>
        <v>2.5</v>
      </c>
      <c r="D37">
        <f t="shared" si="3"/>
        <v>1.5410264855515781</v>
      </c>
      <c r="E37">
        <f t="shared" si="4"/>
        <v>3.270513242775789</v>
      </c>
      <c r="F37">
        <f t="shared" si="8"/>
        <v>1.3</v>
      </c>
      <c r="G37">
        <f t="shared" si="5"/>
        <v>3.7</v>
      </c>
      <c r="H37">
        <f t="shared" si="6"/>
        <v>-4</v>
      </c>
      <c r="I37">
        <f t="shared" si="7"/>
        <v>4</v>
      </c>
    </row>
    <row r="38" spans="1:13" x14ac:dyDescent="0.25">
      <c r="A38">
        <v>0.37</v>
      </c>
      <c r="B38">
        <f t="shared" si="1"/>
        <v>3.9579372548428227</v>
      </c>
      <c r="C38">
        <f t="shared" si="2"/>
        <v>2.5</v>
      </c>
      <c r="D38">
        <f t="shared" si="3"/>
        <v>1.4579372548428227</v>
      </c>
      <c r="E38">
        <f t="shared" si="4"/>
        <v>3.2289686274214113</v>
      </c>
      <c r="F38">
        <f t="shared" si="8"/>
        <v>1.3</v>
      </c>
      <c r="G38">
        <f t="shared" si="5"/>
        <v>3.7</v>
      </c>
      <c r="H38">
        <f t="shared" si="6"/>
        <v>-4</v>
      </c>
      <c r="I38">
        <f t="shared" si="7"/>
        <v>4</v>
      </c>
    </row>
    <row r="39" spans="1:13" x14ac:dyDescent="0.25">
      <c r="A39">
        <v>0.38</v>
      </c>
      <c r="B39">
        <f t="shared" si="1"/>
        <v>3.8690942118573775</v>
      </c>
      <c r="C39">
        <f t="shared" si="2"/>
        <v>2.5</v>
      </c>
      <c r="D39">
        <f t="shared" si="3"/>
        <v>1.3690942118573775</v>
      </c>
      <c r="E39">
        <f t="shared" si="4"/>
        <v>3.1845471059286887</v>
      </c>
      <c r="F39">
        <f t="shared" si="8"/>
        <v>1.3</v>
      </c>
      <c r="G39">
        <f t="shared" si="5"/>
        <v>3.7</v>
      </c>
      <c r="H39">
        <f t="shared" si="6"/>
        <v>-4</v>
      </c>
      <c r="I39">
        <f t="shared" si="7"/>
        <v>4</v>
      </c>
    </row>
    <row r="40" spans="1:13" x14ac:dyDescent="0.25">
      <c r="A40">
        <v>0.39</v>
      </c>
      <c r="B40">
        <f t="shared" si="1"/>
        <v>3.7748479794973795</v>
      </c>
      <c r="C40">
        <f t="shared" si="2"/>
        <v>2.5</v>
      </c>
      <c r="D40">
        <f t="shared" si="3"/>
        <v>1.2748479794973795</v>
      </c>
      <c r="E40">
        <f t="shared" si="4"/>
        <v>3.1374239897486897</v>
      </c>
      <c r="F40">
        <f t="shared" si="8"/>
        <v>1.3</v>
      </c>
      <c r="G40">
        <f t="shared" si="5"/>
        <v>3.7</v>
      </c>
      <c r="H40">
        <f t="shared" si="6"/>
        <v>-4</v>
      </c>
      <c r="I40">
        <f t="shared" si="7"/>
        <v>4</v>
      </c>
    </row>
    <row r="41" spans="1:13" x14ac:dyDescent="0.25">
      <c r="A41">
        <v>0.4</v>
      </c>
      <c r="B41">
        <f t="shared" si="1"/>
        <v>3.6755705045849467</v>
      </c>
      <c r="C41">
        <f t="shared" si="2"/>
        <v>2.5</v>
      </c>
      <c r="D41">
        <f t="shared" si="3"/>
        <v>1.1755705045849467</v>
      </c>
      <c r="E41">
        <f t="shared" si="4"/>
        <v>3.0877852522924734</v>
      </c>
      <c r="F41">
        <f t="shared" si="8"/>
        <v>1.3</v>
      </c>
      <c r="G41">
        <f t="shared" si="5"/>
        <v>3.7</v>
      </c>
      <c r="H41">
        <f t="shared" si="6"/>
        <v>-4</v>
      </c>
      <c r="I41">
        <f t="shared" si="7"/>
        <v>4</v>
      </c>
    </row>
    <row r="42" spans="1:13" x14ac:dyDescent="0.25">
      <c r="A42">
        <v>0.41</v>
      </c>
      <c r="B42">
        <f t="shared" si="1"/>
        <v>3.571653589957994</v>
      </c>
      <c r="C42">
        <f t="shared" si="2"/>
        <v>2.5</v>
      </c>
      <c r="D42">
        <f t="shared" si="3"/>
        <v>1.071653589957994</v>
      </c>
      <c r="E42">
        <f t="shared" si="4"/>
        <v>3.035826794978997</v>
      </c>
      <c r="F42">
        <f t="shared" si="8"/>
        <v>1.3</v>
      </c>
      <c r="G42">
        <f t="shared" si="5"/>
        <v>3.7</v>
      </c>
      <c r="H42">
        <f t="shared" si="6"/>
        <v>-4</v>
      </c>
      <c r="I42">
        <f t="shared" si="7"/>
        <v>4</v>
      </c>
      <c r="K42">
        <v>1</v>
      </c>
      <c r="L42">
        <v>0.5</v>
      </c>
      <c r="M42">
        <f>(K42-L42)/2</f>
        <v>0.25</v>
      </c>
    </row>
    <row r="43" spans="1:13" x14ac:dyDescent="0.25">
      <c r="A43">
        <v>0.42</v>
      </c>
      <c r="B43">
        <f t="shared" si="1"/>
        <v>3.4635073482034313</v>
      </c>
      <c r="C43">
        <f t="shared" si="2"/>
        <v>2.5</v>
      </c>
      <c r="D43">
        <f t="shared" si="3"/>
        <v>0.96350734820343131</v>
      </c>
      <c r="E43">
        <f t="shared" si="4"/>
        <v>2.9817536741017157</v>
      </c>
      <c r="F43">
        <f t="shared" si="8"/>
        <v>1.3</v>
      </c>
      <c r="G43">
        <f t="shared" si="5"/>
        <v>3.7</v>
      </c>
      <c r="H43">
        <f t="shared" si="6"/>
        <v>-4</v>
      </c>
      <c r="I43">
        <f t="shared" si="7"/>
        <v>4</v>
      </c>
    </row>
    <row r="44" spans="1:13" x14ac:dyDescent="0.25">
      <c r="A44">
        <v>0.43</v>
      </c>
      <c r="B44">
        <f t="shared" si="1"/>
        <v>3.3515585831301458</v>
      </c>
      <c r="C44">
        <f t="shared" si="2"/>
        <v>2.5</v>
      </c>
      <c r="D44">
        <f t="shared" si="3"/>
        <v>0.85155858313014576</v>
      </c>
      <c r="E44">
        <f t="shared" si="4"/>
        <v>2.9257792915650729</v>
      </c>
      <c r="F44">
        <f t="shared" si="8"/>
        <v>1.3</v>
      </c>
      <c r="G44">
        <f t="shared" si="5"/>
        <v>3.7</v>
      </c>
      <c r="H44">
        <f t="shared" si="6"/>
        <v>-4</v>
      </c>
      <c r="I44">
        <f t="shared" si="7"/>
        <v>4</v>
      </c>
    </row>
    <row r="45" spans="1:13" x14ac:dyDescent="0.25">
      <c r="A45">
        <v>0.44</v>
      </c>
      <c r="B45">
        <f t="shared" si="1"/>
        <v>3.2362491053693563</v>
      </c>
      <c r="C45">
        <f t="shared" si="2"/>
        <v>2.5</v>
      </c>
      <c r="D45">
        <f t="shared" si="3"/>
        <v>0.73624910536935628</v>
      </c>
      <c r="E45">
        <f t="shared" si="4"/>
        <v>2.8681245526846784</v>
      </c>
      <c r="F45">
        <f t="shared" si="8"/>
        <v>1.3</v>
      </c>
      <c r="G45">
        <f t="shared" si="5"/>
        <v>3.7</v>
      </c>
      <c r="H45">
        <f t="shared" si="6"/>
        <v>-4</v>
      </c>
      <c r="I45">
        <f t="shared" si="7"/>
        <v>4</v>
      </c>
    </row>
    <row r="46" spans="1:13" x14ac:dyDescent="0.25">
      <c r="A46">
        <v>0.45</v>
      </c>
      <c r="B46">
        <f t="shared" si="1"/>
        <v>3.1180339887498949</v>
      </c>
      <c r="C46">
        <f t="shared" si="2"/>
        <v>2.5</v>
      </c>
      <c r="D46">
        <f t="shared" si="3"/>
        <v>0.6180339887498949</v>
      </c>
      <c r="E46">
        <f t="shared" si="4"/>
        <v>2.8090169943749475</v>
      </c>
      <c r="F46">
        <f t="shared" si="8"/>
        <v>1.3</v>
      </c>
      <c r="G46">
        <f t="shared" si="5"/>
        <v>3.7</v>
      </c>
      <c r="H46">
        <f t="shared" si="6"/>
        <v>-4</v>
      </c>
      <c r="I46">
        <f t="shared" si="7"/>
        <v>4</v>
      </c>
    </row>
    <row r="47" spans="1:13" x14ac:dyDescent="0.25">
      <c r="A47">
        <v>0.46</v>
      </c>
      <c r="B47">
        <f t="shared" si="1"/>
        <v>2.9973797743297097</v>
      </c>
      <c r="C47">
        <f t="shared" si="2"/>
        <v>2.5</v>
      </c>
      <c r="D47">
        <f t="shared" si="3"/>
        <v>0.4973797743297097</v>
      </c>
      <c r="E47">
        <f t="shared" si="4"/>
        <v>2.7486898871648551</v>
      </c>
      <c r="F47">
        <f t="shared" si="8"/>
        <v>1.3</v>
      </c>
      <c r="G47">
        <f t="shared" si="5"/>
        <v>3.7</v>
      </c>
      <c r="H47">
        <f t="shared" si="6"/>
        <v>-4</v>
      </c>
      <c r="I47">
        <f t="shared" si="7"/>
        <v>4</v>
      </c>
    </row>
    <row r="48" spans="1:13" x14ac:dyDescent="0.25">
      <c r="A48">
        <v>0.47</v>
      </c>
      <c r="B48">
        <f t="shared" si="1"/>
        <v>2.8747626291714501</v>
      </c>
      <c r="C48">
        <f t="shared" si="2"/>
        <v>2.5</v>
      </c>
      <c r="D48">
        <f t="shared" si="3"/>
        <v>0.37476262917145009</v>
      </c>
      <c r="E48">
        <f t="shared" si="4"/>
        <v>2.6873813145857248</v>
      </c>
      <c r="F48">
        <f t="shared" si="8"/>
        <v>1.3</v>
      </c>
      <c r="G48">
        <f t="shared" si="5"/>
        <v>3.7</v>
      </c>
      <c r="H48">
        <f t="shared" si="6"/>
        <v>-4</v>
      </c>
      <c r="I48">
        <f t="shared" si="7"/>
        <v>4</v>
      </c>
    </row>
    <row r="49" spans="1:9" x14ac:dyDescent="0.25">
      <c r="A49">
        <v>0.48</v>
      </c>
      <c r="B49">
        <f t="shared" si="1"/>
        <v>2.750666467128609</v>
      </c>
      <c r="C49">
        <f t="shared" si="2"/>
        <v>2.5</v>
      </c>
      <c r="D49">
        <f t="shared" si="3"/>
        <v>0.25066646712860896</v>
      </c>
      <c r="E49">
        <f t="shared" si="4"/>
        <v>2.6253332335643043</v>
      </c>
      <c r="F49">
        <f t="shared" si="8"/>
        <v>1.3</v>
      </c>
      <c r="G49">
        <f t="shared" si="5"/>
        <v>3.7</v>
      </c>
      <c r="H49">
        <f t="shared" si="6"/>
        <v>-4</v>
      </c>
      <c r="I49">
        <f t="shared" si="7"/>
        <v>4</v>
      </c>
    </row>
    <row r="50" spans="1:9" x14ac:dyDescent="0.25">
      <c r="A50">
        <v>0.49</v>
      </c>
      <c r="B50">
        <f t="shared" si="1"/>
        <v>2.6255810390586269</v>
      </c>
      <c r="C50">
        <f t="shared" si="2"/>
        <v>2.5</v>
      </c>
      <c r="D50">
        <f t="shared" si="3"/>
        <v>0.12558103905862694</v>
      </c>
      <c r="E50">
        <f t="shared" si="4"/>
        <v>2.5627905195293135</v>
      </c>
      <c r="F50">
        <f t="shared" si="8"/>
        <v>1.3</v>
      </c>
      <c r="G50">
        <f t="shared" si="5"/>
        <v>3.7</v>
      </c>
      <c r="H50">
        <f t="shared" si="6"/>
        <v>-4</v>
      </c>
      <c r="I50">
        <f t="shared" si="7"/>
        <v>4</v>
      </c>
    </row>
    <row r="51" spans="1:9" x14ac:dyDescent="0.25">
      <c r="A51">
        <v>0.5</v>
      </c>
      <c r="B51">
        <f t="shared" si="1"/>
        <v>2.5000000000000004</v>
      </c>
      <c r="C51">
        <f t="shared" si="2"/>
        <v>2.5</v>
      </c>
      <c r="D51">
        <f t="shared" si="3"/>
        <v>0</v>
      </c>
      <c r="E51">
        <f t="shared" si="4"/>
        <v>2.5</v>
      </c>
      <c r="F51">
        <f t="shared" si="8"/>
        <v>1.3</v>
      </c>
      <c r="G51">
        <f t="shared" si="5"/>
        <v>3.7</v>
      </c>
      <c r="H51">
        <f t="shared" si="6"/>
        <v>-4</v>
      </c>
      <c r="I51">
        <f t="shared" si="7"/>
        <v>4</v>
      </c>
    </row>
    <row r="52" spans="1:9" x14ac:dyDescent="0.25">
      <c r="A52">
        <v>0.51</v>
      </c>
      <c r="B52">
        <f t="shared" si="1"/>
        <v>2.3744189609413735</v>
      </c>
      <c r="C52">
        <f t="shared" si="2"/>
        <v>2.5</v>
      </c>
      <c r="D52">
        <f t="shared" si="3"/>
        <v>-0.1255810390586265</v>
      </c>
      <c r="E52">
        <f t="shared" si="4"/>
        <v>2.4372094804706865</v>
      </c>
      <c r="F52">
        <f t="shared" si="8"/>
        <v>1.3</v>
      </c>
      <c r="G52">
        <f t="shared" si="5"/>
        <v>3.7</v>
      </c>
      <c r="H52">
        <f t="shared" si="6"/>
        <v>-4</v>
      </c>
      <c r="I52">
        <f t="shared" si="7"/>
        <v>4</v>
      </c>
    </row>
    <row r="53" spans="1:9" x14ac:dyDescent="0.25">
      <c r="A53">
        <v>0.52</v>
      </c>
      <c r="B53">
        <f t="shared" si="1"/>
        <v>2.2493335328713915</v>
      </c>
      <c r="C53">
        <f t="shared" si="2"/>
        <v>2.5</v>
      </c>
      <c r="D53">
        <f t="shared" si="3"/>
        <v>-0.25066646712860852</v>
      </c>
      <c r="E53">
        <f t="shared" si="4"/>
        <v>2.3746667664356957</v>
      </c>
      <c r="F53">
        <f t="shared" si="8"/>
        <v>1.3</v>
      </c>
      <c r="G53">
        <f t="shared" si="5"/>
        <v>3.7</v>
      </c>
      <c r="H53">
        <f t="shared" si="6"/>
        <v>-4</v>
      </c>
      <c r="I53">
        <f t="shared" si="7"/>
        <v>4</v>
      </c>
    </row>
    <row r="54" spans="1:9" x14ac:dyDescent="0.25">
      <c r="A54">
        <v>0.53</v>
      </c>
      <c r="B54">
        <f t="shared" si="1"/>
        <v>2.1252373708285504</v>
      </c>
      <c r="C54">
        <f t="shared" si="2"/>
        <v>2.5</v>
      </c>
      <c r="D54">
        <f t="shared" si="3"/>
        <v>-0.37476262917144965</v>
      </c>
      <c r="E54">
        <f t="shared" si="4"/>
        <v>2.3126186854142752</v>
      </c>
      <c r="F54">
        <f t="shared" si="8"/>
        <v>1.3</v>
      </c>
      <c r="G54">
        <f t="shared" si="5"/>
        <v>3.7</v>
      </c>
      <c r="H54">
        <f t="shared" si="6"/>
        <v>-4</v>
      </c>
      <c r="I54">
        <f t="shared" si="7"/>
        <v>4</v>
      </c>
    </row>
    <row r="55" spans="1:9" x14ac:dyDescent="0.25">
      <c r="A55">
        <v>0.54</v>
      </c>
      <c r="B55">
        <f t="shared" si="1"/>
        <v>2.0026202256702899</v>
      </c>
      <c r="C55">
        <f t="shared" si="2"/>
        <v>2.5</v>
      </c>
      <c r="D55">
        <f t="shared" si="3"/>
        <v>-0.49737977432971014</v>
      </c>
      <c r="E55">
        <f t="shared" si="4"/>
        <v>2.2513101128351449</v>
      </c>
      <c r="F55">
        <f t="shared" si="8"/>
        <v>1.3</v>
      </c>
      <c r="G55">
        <f t="shared" si="5"/>
        <v>3.7</v>
      </c>
      <c r="H55">
        <f t="shared" si="6"/>
        <v>-4</v>
      </c>
      <c r="I55">
        <f t="shared" si="7"/>
        <v>4</v>
      </c>
    </row>
    <row r="56" spans="1:9" x14ac:dyDescent="0.25">
      <c r="A56">
        <v>0.55000000000000004</v>
      </c>
      <c r="B56">
        <f t="shared" si="1"/>
        <v>1.8819660112501047</v>
      </c>
      <c r="C56">
        <f t="shared" si="2"/>
        <v>2.5</v>
      </c>
      <c r="D56">
        <f t="shared" si="3"/>
        <v>-0.61803398874989535</v>
      </c>
      <c r="E56">
        <f t="shared" si="4"/>
        <v>2.1909830056250525</v>
      </c>
      <c r="F56">
        <f t="shared" si="8"/>
        <v>1.3</v>
      </c>
      <c r="G56">
        <f t="shared" si="5"/>
        <v>3.7</v>
      </c>
      <c r="H56">
        <f t="shared" si="6"/>
        <v>-4</v>
      </c>
      <c r="I56">
        <f t="shared" si="7"/>
        <v>4</v>
      </c>
    </row>
    <row r="57" spans="1:9" x14ac:dyDescent="0.25">
      <c r="A57">
        <v>0.56000000000000005</v>
      </c>
      <c r="B57">
        <f t="shared" si="1"/>
        <v>1.7637508946306433</v>
      </c>
      <c r="C57">
        <f t="shared" si="2"/>
        <v>2.5</v>
      </c>
      <c r="D57">
        <f t="shared" si="3"/>
        <v>-0.73624910536935673</v>
      </c>
      <c r="E57">
        <f t="shared" si="4"/>
        <v>2.1318754473153216</v>
      </c>
      <c r="F57">
        <f t="shared" si="8"/>
        <v>1.3</v>
      </c>
      <c r="G57">
        <f t="shared" si="5"/>
        <v>3.7</v>
      </c>
      <c r="H57">
        <f t="shared" si="6"/>
        <v>-4</v>
      </c>
      <c r="I57">
        <f t="shared" si="7"/>
        <v>4</v>
      </c>
    </row>
    <row r="58" spans="1:9" x14ac:dyDescent="0.25">
      <c r="A58">
        <v>0.56999999999999995</v>
      </c>
      <c r="B58">
        <f t="shared" si="1"/>
        <v>1.6484414168698556</v>
      </c>
      <c r="C58">
        <f t="shared" si="2"/>
        <v>2.5</v>
      </c>
      <c r="D58">
        <f t="shared" si="3"/>
        <v>-0.85155858313014443</v>
      </c>
      <c r="E58">
        <f t="shared" si="4"/>
        <v>2.074220708434928</v>
      </c>
      <c r="F58">
        <f t="shared" si="8"/>
        <v>1.3</v>
      </c>
      <c r="G58">
        <f t="shared" si="5"/>
        <v>3.7</v>
      </c>
      <c r="H58">
        <f t="shared" si="6"/>
        <v>-4</v>
      </c>
      <c r="I58">
        <f t="shared" si="7"/>
        <v>4</v>
      </c>
    </row>
    <row r="59" spans="1:9" x14ac:dyDescent="0.25">
      <c r="A59">
        <v>0.57999999999999996</v>
      </c>
      <c r="B59">
        <f t="shared" si="1"/>
        <v>1.53649265179657</v>
      </c>
      <c r="C59">
        <f t="shared" si="2"/>
        <v>2.5</v>
      </c>
      <c r="D59">
        <f t="shared" si="3"/>
        <v>-0.96350734820342998</v>
      </c>
      <c r="E59">
        <f t="shared" si="4"/>
        <v>2.0182463258982848</v>
      </c>
      <c r="F59">
        <f t="shared" si="8"/>
        <v>1.3</v>
      </c>
      <c r="G59">
        <f t="shared" si="5"/>
        <v>3.7</v>
      </c>
      <c r="H59">
        <f t="shared" si="6"/>
        <v>-4</v>
      </c>
      <c r="I59">
        <f t="shared" si="7"/>
        <v>4</v>
      </c>
    </row>
    <row r="60" spans="1:9" x14ac:dyDescent="0.25">
      <c r="A60">
        <v>0.59</v>
      </c>
      <c r="B60">
        <f t="shared" si="1"/>
        <v>1.4283464100420071</v>
      </c>
      <c r="C60">
        <f t="shared" si="2"/>
        <v>2.5</v>
      </c>
      <c r="D60">
        <f t="shared" si="3"/>
        <v>-1.0716535899579929</v>
      </c>
      <c r="E60">
        <f t="shared" si="4"/>
        <v>1.9641732050210035</v>
      </c>
      <c r="F60">
        <f t="shared" si="8"/>
        <v>1.3</v>
      </c>
      <c r="G60">
        <f t="shared" si="5"/>
        <v>3.7</v>
      </c>
      <c r="H60">
        <f t="shared" si="6"/>
        <v>-4</v>
      </c>
      <c r="I60">
        <f t="shared" si="7"/>
        <v>4</v>
      </c>
    </row>
    <row r="61" spans="1:9" x14ac:dyDescent="0.25">
      <c r="A61">
        <v>0.6</v>
      </c>
      <c r="B61">
        <f t="shared" si="1"/>
        <v>1.3244294954150539</v>
      </c>
      <c r="C61">
        <f t="shared" si="2"/>
        <v>2.5</v>
      </c>
      <c r="D61">
        <f t="shared" si="3"/>
        <v>-1.1755705045849461</v>
      </c>
      <c r="E61">
        <f t="shared" si="4"/>
        <v>1.9122147477075271</v>
      </c>
      <c r="F61">
        <f t="shared" si="8"/>
        <v>1.3</v>
      </c>
      <c r="G61">
        <f t="shared" si="5"/>
        <v>3.7</v>
      </c>
      <c r="H61">
        <f t="shared" si="6"/>
        <v>-4</v>
      </c>
      <c r="I61">
        <f t="shared" si="7"/>
        <v>4</v>
      </c>
    </row>
    <row r="62" spans="1:9" x14ac:dyDescent="0.25">
      <c r="A62">
        <v>0.61</v>
      </c>
      <c r="B62">
        <f t="shared" si="1"/>
        <v>1.2251520205026207</v>
      </c>
      <c r="C62">
        <f t="shared" si="2"/>
        <v>2.5</v>
      </c>
      <c r="D62">
        <f t="shared" si="3"/>
        <v>-1.2748479794973793</v>
      </c>
      <c r="E62">
        <f t="shared" si="4"/>
        <v>1.8625760102513103</v>
      </c>
      <c r="F62">
        <f t="shared" si="8"/>
        <v>1.3</v>
      </c>
      <c r="G62">
        <f t="shared" si="5"/>
        <v>3.7</v>
      </c>
      <c r="H62">
        <f t="shared" si="6"/>
        <v>-4</v>
      </c>
      <c r="I62">
        <f t="shared" si="7"/>
        <v>4</v>
      </c>
    </row>
    <row r="63" spans="1:9" x14ac:dyDescent="0.25">
      <c r="A63">
        <v>0.62</v>
      </c>
      <c r="B63">
        <f t="shared" si="1"/>
        <v>1.1309057881426225</v>
      </c>
      <c r="C63">
        <f t="shared" si="2"/>
        <v>2.5</v>
      </c>
      <c r="D63">
        <f t="shared" si="3"/>
        <v>-1.3690942118573775</v>
      </c>
      <c r="E63">
        <f t="shared" si="4"/>
        <v>1.8154528940713113</v>
      </c>
      <c r="F63">
        <f t="shared" si="8"/>
        <v>1.3</v>
      </c>
      <c r="G63">
        <f t="shared" si="5"/>
        <v>3.7</v>
      </c>
      <c r="H63">
        <f t="shared" si="6"/>
        <v>-4</v>
      </c>
      <c r="I63">
        <f t="shared" si="7"/>
        <v>4</v>
      </c>
    </row>
    <row r="64" spans="1:9" x14ac:dyDescent="0.25">
      <c r="A64">
        <v>0.63</v>
      </c>
      <c r="B64">
        <f t="shared" si="1"/>
        <v>1.0420627451571773</v>
      </c>
      <c r="C64">
        <f t="shared" si="2"/>
        <v>2.5</v>
      </c>
      <c r="D64">
        <f t="shared" si="3"/>
        <v>-1.4579372548428227</v>
      </c>
      <c r="E64">
        <f t="shared" si="4"/>
        <v>1.7710313725785887</v>
      </c>
      <c r="F64">
        <f t="shared" si="8"/>
        <v>1.3</v>
      </c>
      <c r="G64">
        <f t="shared" si="5"/>
        <v>3.7</v>
      </c>
      <c r="H64">
        <f t="shared" si="6"/>
        <v>-4</v>
      </c>
      <c r="I64">
        <f t="shared" si="7"/>
        <v>4</v>
      </c>
    </row>
    <row r="65" spans="1:9" x14ac:dyDescent="0.25">
      <c r="A65">
        <v>0.64</v>
      </c>
      <c r="B65">
        <f t="shared" si="1"/>
        <v>0.95897351444842127</v>
      </c>
      <c r="C65">
        <f t="shared" si="2"/>
        <v>2.5</v>
      </c>
      <c r="D65">
        <f t="shared" si="3"/>
        <v>-1.5410264855515787</v>
      </c>
      <c r="E65">
        <f t="shared" si="4"/>
        <v>1.7294867572242105</v>
      </c>
      <c r="F65">
        <f t="shared" si="8"/>
        <v>1.3</v>
      </c>
      <c r="G65">
        <f t="shared" si="5"/>
        <v>3.7</v>
      </c>
      <c r="H65">
        <f t="shared" si="6"/>
        <v>-4</v>
      </c>
      <c r="I65">
        <f t="shared" si="7"/>
        <v>4</v>
      </c>
    </row>
    <row r="66" spans="1:9" x14ac:dyDescent="0.25">
      <c r="A66">
        <v>0.65</v>
      </c>
      <c r="B66">
        <f t="shared" si="1"/>
        <v>0.88196601125010532</v>
      </c>
      <c r="C66">
        <f t="shared" si="2"/>
        <v>2.5</v>
      </c>
      <c r="D66">
        <f t="shared" si="3"/>
        <v>-1.6180339887498947</v>
      </c>
      <c r="E66">
        <f t="shared" si="4"/>
        <v>1.6909830056250525</v>
      </c>
      <c r="F66">
        <f t="shared" ref="F66:F97" si="9">$L$2+0.3+($L$3*$L$4)/2</f>
        <v>1.3</v>
      </c>
      <c r="G66">
        <f t="shared" si="5"/>
        <v>3.7</v>
      </c>
      <c r="H66">
        <f t="shared" si="6"/>
        <v>-4</v>
      </c>
      <c r="I66">
        <f t="shared" si="7"/>
        <v>4</v>
      </c>
    </row>
    <row r="67" spans="1:9" x14ac:dyDescent="0.25">
      <c r="A67">
        <v>0.66</v>
      </c>
      <c r="B67">
        <f t="shared" ref="B67:B130" si="10">$L$6*SIN(2*PI()*1*A67)+$L$5</f>
        <v>0.81134414899596941</v>
      </c>
      <c r="C67">
        <f t="shared" ref="C67:C130" si="11">$O$1</f>
        <v>2.5</v>
      </c>
      <c r="D67">
        <f t="shared" ref="D67:D130" si="12">B67-C67</f>
        <v>-1.6886558510040306</v>
      </c>
      <c r="E67">
        <f t="shared" ref="E67:E130" si="13">(B67+C67)/2</f>
        <v>1.6556720744979847</v>
      </c>
      <c r="F67">
        <f t="shared" si="9"/>
        <v>1.3</v>
      </c>
      <c r="G67">
        <f t="shared" ref="G67:G130" si="14">$L$1-0.3-($L$3*$L$4)/2</f>
        <v>3.7</v>
      </c>
      <c r="H67">
        <f t="shared" ref="H67:H130" si="15">-$L$7/$L$3</f>
        <v>-4</v>
      </c>
      <c r="I67">
        <f t="shared" ref="I67:I130" si="16">$L$7/$L$3</f>
        <v>4</v>
      </c>
    </row>
    <row r="68" spans="1:9" x14ac:dyDescent="0.25">
      <c r="A68">
        <v>0.67</v>
      </c>
      <c r="B68">
        <f t="shared" si="10"/>
        <v>0.74738663991227283</v>
      </c>
      <c r="C68">
        <f t="shared" si="11"/>
        <v>2.5</v>
      </c>
      <c r="D68">
        <f t="shared" si="12"/>
        <v>-1.7526133600877272</v>
      </c>
      <c r="E68">
        <f t="shared" si="13"/>
        <v>1.6236933199561365</v>
      </c>
      <c r="F68">
        <f t="shared" si="9"/>
        <v>1.3</v>
      </c>
      <c r="G68">
        <f t="shared" si="14"/>
        <v>3.7</v>
      </c>
      <c r="H68">
        <f t="shared" si="15"/>
        <v>-4</v>
      </c>
      <c r="I68">
        <f t="shared" si="16"/>
        <v>4</v>
      </c>
    </row>
    <row r="69" spans="1:9" x14ac:dyDescent="0.25">
      <c r="A69">
        <v>0.68</v>
      </c>
      <c r="B69">
        <f t="shared" si="10"/>
        <v>0.6903458950679604</v>
      </c>
      <c r="C69">
        <f t="shared" si="11"/>
        <v>2.5</v>
      </c>
      <c r="D69">
        <f t="shared" si="12"/>
        <v>-1.8096541049320396</v>
      </c>
      <c r="E69">
        <f t="shared" si="13"/>
        <v>1.5951729475339802</v>
      </c>
      <c r="F69">
        <f t="shared" si="9"/>
        <v>1.3</v>
      </c>
      <c r="G69">
        <f t="shared" si="14"/>
        <v>3.7</v>
      </c>
      <c r="H69">
        <f t="shared" si="15"/>
        <v>-4</v>
      </c>
      <c r="I69">
        <f t="shared" si="16"/>
        <v>4</v>
      </c>
    </row>
    <row r="70" spans="1:9" x14ac:dyDescent="0.25">
      <c r="A70">
        <v>0.69</v>
      </c>
      <c r="B70">
        <f t="shared" si="10"/>
        <v>0.64044702822349775</v>
      </c>
      <c r="C70">
        <f t="shared" si="11"/>
        <v>2.5</v>
      </c>
      <c r="D70">
        <f t="shared" si="12"/>
        <v>-1.8595529717765023</v>
      </c>
      <c r="E70">
        <f t="shared" si="13"/>
        <v>1.5702235141117489</v>
      </c>
      <c r="F70">
        <f t="shared" si="9"/>
        <v>1.3</v>
      </c>
      <c r="G70">
        <f t="shared" si="14"/>
        <v>3.7</v>
      </c>
      <c r="H70">
        <f t="shared" si="15"/>
        <v>-4</v>
      </c>
      <c r="I70">
        <f t="shared" si="16"/>
        <v>4</v>
      </c>
    </row>
    <row r="71" spans="1:9" x14ac:dyDescent="0.25">
      <c r="A71">
        <v>0.7</v>
      </c>
      <c r="B71">
        <f t="shared" si="10"/>
        <v>0.59788696740969294</v>
      </c>
      <c r="C71">
        <f t="shared" si="11"/>
        <v>2.5</v>
      </c>
      <c r="D71">
        <f t="shared" si="12"/>
        <v>-1.9021130325903071</v>
      </c>
      <c r="E71">
        <f t="shared" si="13"/>
        <v>1.5489434837048464</v>
      </c>
      <c r="F71">
        <f t="shared" si="9"/>
        <v>1.3</v>
      </c>
      <c r="G71">
        <f t="shared" si="14"/>
        <v>3.7</v>
      </c>
      <c r="H71">
        <f t="shared" si="15"/>
        <v>-4</v>
      </c>
      <c r="I71">
        <f t="shared" si="16"/>
        <v>4</v>
      </c>
    </row>
    <row r="72" spans="1:9" x14ac:dyDescent="0.25">
      <c r="A72">
        <v>0.71</v>
      </c>
      <c r="B72">
        <f t="shared" si="10"/>
        <v>0.56283367774273807</v>
      </c>
      <c r="C72">
        <f t="shared" si="11"/>
        <v>2.5</v>
      </c>
      <c r="D72">
        <f t="shared" si="12"/>
        <v>-1.9371663222572619</v>
      </c>
      <c r="E72">
        <f t="shared" si="13"/>
        <v>1.5314168388713689</v>
      </c>
      <c r="F72">
        <f t="shared" si="9"/>
        <v>1.3</v>
      </c>
      <c r="G72">
        <f t="shared" si="14"/>
        <v>3.7</v>
      </c>
      <c r="H72">
        <f t="shared" si="15"/>
        <v>-4</v>
      </c>
      <c r="I72">
        <f t="shared" si="16"/>
        <v>4</v>
      </c>
    </row>
    <row r="73" spans="1:9" x14ac:dyDescent="0.25">
      <c r="A73">
        <v>0.72</v>
      </c>
      <c r="B73">
        <f t="shared" si="10"/>
        <v>0.53542549854262256</v>
      </c>
      <c r="C73">
        <f t="shared" si="11"/>
        <v>2.5</v>
      </c>
      <c r="D73">
        <f t="shared" si="12"/>
        <v>-1.9645745014573774</v>
      </c>
      <c r="E73">
        <f t="shared" si="13"/>
        <v>1.5177127492713112</v>
      </c>
      <c r="F73">
        <f t="shared" si="9"/>
        <v>1.3</v>
      </c>
      <c r="G73">
        <f t="shared" si="14"/>
        <v>3.7</v>
      </c>
      <c r="H73">
        <f t="shared" si="15"/>
        <v>-4</v>
      </c>
      <c r="I73">
        <f t="shared" si="16"/>
        <v>4</v>
      </c>
    </row>
    <row r="74" spans="1:9" x14ac:dyDescent="0.25">
      <c r="A74">
        <v>0.73</v>
      </c>
      <c r="B74">
        <f t="shared" si="10"/>
        <v>0.51577059737104447</v>
      </c>
      <c r="C74">
        <f t="shared" si="11"/>
        <v>2.5</v>
      </c>
      <c r="D74">
        <f t="shared" si="12"/>
        <v>-1.9842294026289555</v>
      </c>
      <c r="E74">
        <f t="shared" si="13"/>
        <v>1.5078852986855222</v>
      </c>
      <c r="F74">
        <f t="shared" si="9"/>
        <v>1.3</v>
      </c>
      <c r="G74">
        <f t="shared" si="14"/>
        <v>3.7</v>
      </c>
      <c r="H74">
        <f t="shared" si="15"/>
        <v>-4</v>
      </c>
      <c r="I74">
        <f t="shared" si="16"/>
        <v>4</v>
      </c>
    </row>
    <row r="75" spans="1:9" x14ac:dyDescent="0.25">
      <c r="A75">
        <v>0.74</v>
      </c>
      <c r="B75">
        <f t="shared" si="10"/>
        <v>0.50394654314345688</v>
      </c>
      <c r="C75">
        <f t="shared" si="11"/>
        <v>2.5</v>
      </c>
      <c r="D75">
        <f t="shared" si="12"/>
        <v>-1.9960534568565431</v>
      </c>
      <c r="E75">
        <f t="shared" si="13"/>
        <v>1.5019732715717284</v>
      </c>
      <c r="F75">
        <f t="shared" si="9"/>
        <v>1.3</v>
      </c>
      <c r="G75">
        <f t="shared" si="14"/>
        <v>3.7</v>
      </c>
      <c r="H75">
        <f t="shared" si="15"/>
        <v>-4</v>
      </c>
      <c r="I75">
        <f t="shared" si="16"/>
        <v>4</v>
      </c>
    </row>
    <row r="76" spans="1:9" x14ac:dyDescent="0.25">
      <c r="A76">
        <v>0.75</v>
      </c>
      <c r="B76">
        <f t="shared" si="10"/>
        <v>0.5</v>
      </c>
      <c r="C76">
        <f t="shared" si="11"/>
        <v>2.5</v>
      </c>
      <c r="D76">
        <f t="shared" si="12"/>
        <v>-2</v>
      </c>
      <c r="E76">
        <f t="shared" si="13"/>
        <v>1.5</v>
      </c>
      <c r="F76">
        <f t="shared" si="9"/>
        <v>1.3</v>
      </c>
      <c r="G76">
        <f t="shared" si="14"/>
        <v>3.7</v>
      </c>
      <c r="H76">
        <f t="shared" si="15"/>
        <v>-4</v>
      </c>
      <c r="I76">
        <f t="shared" si="16"/>
        <v>4</v>
      </c>
    </row>
    <row r="77" spans="1:9" x14ac:dyDescent="0.25">
      <c r="A77">
        <v>0.76</v>
      </c>
      <c r="B77">
        <f t="shared" si="10"/>
        <v>0.50394654314345688</v>
      </c>
      <c r="C77">
        <f t="shared" si="11"/>
        <v>2.5</v>
      </c>
      <c r="D77">
        <f t="shared" si="12"/>
        <v>-1.9960534568565431</v>
      </c>
      <c r="E77">
        <f t="shared" si="13"/>
        <v>1.5019732715717284</v>
      </c>
      <c r="F77">
        <f t="shared" si="9"/>
        <v>1.3</v>
      </c>
      <c r="G77">
        <f t="shared" si="14"/>
        <v>3.7</v>
      </c>
      <c r="H77">
        <f t="shared" si="15"/>
        <v>-4</v>
      </c>
      <c r="I77">
        <f t="shared" si="16"/>
        <v>4</v>
      </c>
    </row>
    <row r="78" spans="1:9" x14ac:dyDescent="0.25">
      <c r="A78">
        <v>0.77</v>
      </c>
      <c r="B78">
        <f t="shared" si="10"/>
        <v>0.51577059737104425</v>
      </c>
      <c r="C78">
        <f t="shared" si="11"/>
        <v>2.5</v>
      </c>
      <c r="D78">
        <f t="shared" si="12"/>
        <v>-1.9842294026289558</v>
      </c>
      <c r="E78">
        <f t="shared" si="13"/>
        <v>1.507885298685522</v>
      </c>
      <c r="F78">
        <f t="shared" si="9"/>
        <v>1.3</v>
      </c>
      <c r="G78">
        <f t="shared" si="14"/>
        <v>3.7</v>
      </c>
      <c r="H78">
        <f t="shared" si="15"/>
        <v>-4</v>
      </c>
      <c r="I78">
        <f t="shared" si="16"/>
        <v>4</v>
      </c>
    </row>
    <row r="79" spans="1:9" x14ac:dyDescent="0.25">
      <c r="A79">
        <v>0.78</v>
      </c>
      <c r="B79">
        <f t="shared" si="10"/>
        <v>0.53542549854262256</v>
      </c>
      <c r="C79">
        <f t="shared" si="11"/>
        <v>2.5</v>
      </c>
      <c r="D79">
        <f t="shared" si="12"/>
        <v>-1.9645745014573774</v>
      </c>
      <c r="E79">
        <f t="shared" si="13"/>
        <v>1.5177127492713112</v>
      </c>
      <c r="F79">
        <f t="shared" si="9"/>
        <v>1.3</v>
      </c>
      <c r="G79">
        <f t="shared" si="14"/>
        <v>3.7</v>
      </c>
      <c r="H79">
        <f t="shared" si="15"/>
        <v>-4</v>
      </c>
      <c r="I79">
        <f t="shared" si="16"/>
        <v>4</v>
      </c>
    </row>
    <row r="80" spans="1:9" x14ac:dyDescent="0.25">
      <c r="A80">
        <v>0.79</v>
      </c>
      <c r="B80">
        <f t="shared" si="10"/>
        <v>0.56283367774273785</v>
      </c>
      <c r="C80">
        <f t="shared" si="11"/>
        <v>2.5</v>
      </c>
      <c r="D80">
        <f t="shared" si="12"/>
        <v>-1.9371663222572622</v>
      </c>
      <c r="E80">
        <f t="shared" si="13"/>
        <v>1.5314168388713689</v>
      </c>
      <c r="F80">
        <f t="shared" si="9"/>
        <v>1.3</v>
      </c>
      <c r="G80">
        <f t="shared" si="14"/>
        <v>3.7</v>
      </c>
      <c r="H80">
        <f t="shared" si="15"/>
        <v>-4</v>
      </c>
      <c r="I80">
        <f t="shared" si="16"/>
        <v>4</v>
      </c>
    </row>
    <row r="81" spans="1:9" x14ac:dyDescent="0.25">
      <c r="A81">
        <v>0.8</v>
      </c>
      <c r="B81">
        <f t="shared" si="10"/>
        <v>0.59788696740969272</v>
      </c>
      <c r="C81">
        <f t="shared" si="11"/>
        <v>2.5</v>
      </c>
      <c r="D81">
        <f t="shared" si="12"/>
        <v>-1.9021130325903073</v>
      </c>
      <c r="E81">
        <f t="shared" si="13"/>
        <v>1.5489434837048464</v>
      </c>
      <c r="F81">
        <f t="shared" si="9"/>
        <v>1.3</v>
      </c>
      <c r="G81">
        <f t="shared" si="14"/>
        <v>3.7</v>
      </c>
      <c r="H81">
        <f t="shared" si="15"/>
        <v>-4</v>
      </c>
      <c r="I81">
        <f t="shared" si="16"/>
        <v>4</v>
      </c>
    </row>
    <row r="82" spans="1:9" x14ac:dyDescent="0.25">
      <c r="A82">
        <v>0.81</v>
      </c>
      <c r="B82">
        <f t="shared" si="10"/>
        <v>0.64044702822349753</v>
      </c>
      <c r="C82">
        <f t="shared" si="11"/>
        <v>2.5</v>
      </c>
      <c r="D82">
        <f t="shared" si="12"/>
        <v>-1.8595529717765025</v>
      </c>
      <c r="E82">
        <f t="shared" si="13"/>
        <v>1.5702235141117487</v>
      </c>
      <c r="F82">
        <f t="shared" si="9"/>
        <v>1.3</v>
      </c>
      <c r="G82">
        <f t="shared" si="14"/>
        <v>3.7</v>
      </c>
      <c r="H82">
        <f t="shared" si="15"/>
        <v>-4</v>
      </c>
      <c r="I82">
        <f t="shared" si="16"/>
        <v>4</v>
      </c>
    </row>
    <row r="83" spans="1:9" x14ac:dyDescent="0.25">
      <c r="A83">
        <v>0.82</v>
      </c>
      <c r="B83">
        <f t="shared" si="10"/>
        <v>0.69034589506796018</v>
      </c>
      <c r="C83">
        <f t="shared" si="11"/>
        <v>2.5</v>
      </c>
      <c r="D83">
        <f t="shared" si="12"/>
        <v>-1.8096541049320398</v>
      </c>
      <c r="E83">
        <f t="shared" si="13"/>
        <v>1.59517294753398</v>
      </c>
      <c r="F83">
        <f t="shared" si="9"/>
        <v>1.3</v>
      </c>
      <c r="G83">
        <f t="shared" si="14"/>
        <v>3.7</v>
      </c>
      <c r="H83">
        <f t="shared" si="15"/>
        <v>-4</v>
      </c>
      <c r="I83">
        <f t="shared" si="16"/>
        <v>4</v>
      </c>
    </row>
    <row r="84" spans="1:9" x14ac:dyDescent="0.25">
      <c r="A84">
        <v>0.83</v>
      </c>
      <c r="B84">
        <f t="shared" si="10"/>
        <v>0.74738663991227239</v>
      </c>
      <c r="C84">
        <f t="shared" si="11"/>
        <v>2.5</v>
      </c>
      <c r="D84">
        <f t="shared" si="12"/>
        <v>-1.7526133600877276</v>
      </c>
      <c r="E84">
        <f t="shared" si="13"/>
        <v>1.6236933199561361</v>
      </c>
      <c r="F84">
        <f t="shared" si="9"/>
        <v>1.3</v>
      </c>
      <c r="G84">
        <f t="shared" si="14"/>
        <v>3.7</v>
      </c>
      <c r="H84">
        <f t="shared" si="15"/>
        <v>-4</v>
      </c>
      <c r="I84">
        <f t="shared" si="16"/>
        <v>4</v>
      </c>
    </row>
    <row r="85" spans="1:9" x14ac:dyDescent="0.25">
      <c r="A85">
        <v>0.84</v>
      </c>
      <c r="B85">
        <f t="shared" si="10"/>
        <v>0.81134414899596896</v>
      </c>
      <c r="C85">
        <f t="shared" si="11"/>
        <v>2.5</v>
      </c>
      <c r="D85">
        <f t="shared" si="12"/>
        <v>-1.688655851004031</v>
      </c>
      <c r="E85">
        <f t="shared" si="13"/>
        <v>1.6556720744979845</v>
      </c>
      <c r="F85">
        <f t="shared" si="9"/>
        <v>1.3</v>
      </c>
      <c r="G85">
        <f t="shared" si="14"/>
        <v>3.7</v>
      </c>
      <c r="H85">
        <f t="shared" si="15"/>
        <v>-4</v>
      </c>
      <c r="I85">
        <f t="shared" si="16"/>
        <v>4</v>
      </c>
    </row>
    <row r="86" spans="1:9" x14ac:dyDescent="0.25">
      <c r="A86">
        <v>0.85</v>
      </c>
      <c r="B86">
        <f t="shared" si="10"/>
        <v>0.88196601125010488</v>
      </c>
      <c r="C86">
        <f t="shared" si="11"/>
        <v>2.5</v>
      </c>
      <c r="D86">
        <f t="shared" si="12"/>
        <v>-1.6180339887498951</v>
      </c>
      <c r="E86">
        <f t="shared" si="13"/>
        <v>1.6909830056250525</v>
      </c>
      <c r="F86">
        <f t="shared" si="9"/>
        <v>1.3</v>
      </c>
      <c r="G86">
        <f t="shared" si="14"/>
        <v>3.7</v>
      </c>
      <c r="H86">
        <f t="shared" si="15"/>
        <v>-4</v>
      </c>
      <c r="I86">
        <f t="shared" si="16"/>
        <v>4</v>
      </c>
    </row>
    <row r="87" spans="1:9" x14ac:dyDescent="0.25">
      <c r="A87">
        <v>0.86</v>
      </c>
      <c r="B87">
        <f t="shared" si="10"/>
        <v>0.95897351444842083</v>
      </c>
      <c r="C87">
        <f t="shared" si="11"/>
        <v>2.5</v>
      </c>
      <c r="D87">
        <f t="shared" si="12"/>
        <v>-1.5410264855515792</v>
      </c>
      <c r="E87">
        <f t="shared" si="13"/>
        <v>1.7294867572242105</v>
      </c>
      <c r="F87">
        <f t="shared" si="9"/>
        <v>1.3</v>
      </c>
      <c r="G87">
        <f t="shared" si="14"/>
        <v>3.7</v>
      </c>
      <c r="H87">
        <f t="shared" si="15"/>
        <v>-4</v>
      </c>
      <c r="I87">
        <f t="shared" si="16"/>
        <v>4</v>
      </c>
    </row>
    <row r="88" spans="1:9" x14ac:dyDescent="0.25">
      <c r="A88">
        <v>0.87</v>
      </c>
      <c r="B88">
        <f t="shared" si="10"/>
        <v>1.0420627451571769</v>
      </c>
      <c r="C88">
        <f t="shared" si="11"/>
        <v>2.5</v>
      </c>
      <c r="D88">
        <f t="shared" si="12"/>
        <v>-1.4579372548428231</v>
      </c>
      <c r="E88">
        <f t="shared" si="13"/>
        <v>1.7710313725785884</v>
      </c>
      <c r="F88">
        <f t="shared" si="9"/>
        <v>1.3</v>
      </c>
      <c r="G88">
        <f t="shared" si="14"/>
        <v>3.7</v>
      </c>
      <c r="H88">
        <f t="shared" si="15"/>
        <v>-4</v>
      </c>
      <c r="I88">
        <f t="shared" si="16"/>
        <v>4</v>
      </c>
    </row>
    <row r="89" spans="1:9" x14ac:dyDescent="0.25">
      <c r="A89">
        <v>0.88</v>
      </c>
      <c r="B89">
        <f t="shared" si="10"/>
        <v>1.1309057881426221</v>
      </c>
      <c r="C89">
        <f t="shared" si="11"/>
        <v>2.5</v>
      </c>
      <c r="D89">
        <f t="shared" si="12"/>
        <v>-1.3690942118573779</v>
      </c>
      <c r="E89">
        <f t="shared" si="13"/>
        <v>1.8154528940713111</v>
      </c>
      <c r="F89">
        <f t="shared" si="9"/>
        <v>1.3</v>
      </c>
      <c r="G89">
        <f t="shared" si="14"/>
        <v>3.7</v>
      </c>
      <c r="H89">
        <f t="shared" si="15"/>
        <v>-4</v>
      </c>
      <c r="I89">
        <f t="shared" si="16"/>
        <v>4</v>
      </c>
    </row>
    <row r="90" spans="1:9" x14ac:dyDescent="0.25">
      <c r="A90">
        <v>0.89</v>
      </c>
      <c r="B90">
        <f t="shared" si="10"/>
        <v>1.2251520205026207</v>
      </c>
      <c r="C90">
        <f t="shared" si="11"/>
        <v>2.5</v>
      </c>
      <c r="D90">
        <f t="shared" si="12"/>
        <v>-1.2748479794973793</v>
      </c>
      <c r="E90">
        <f t="shared" si="13"/>
        <v>1.8625760102513103</v>
      </c>
      <c r="F90">
        <f t="shared" si="9"/>
        <v>1.3</v>
      </c>
      <c r="G90">
        <f t="shared" si="14"/>
        <v>3.7</v>
      </c>
      <c r="H90">
        <f t="shared" si="15"/>
        <v>-4</v>
      </c>
      <c r="I90">
        <f t="shared" si="16"/>
        <v>4</v>
      </c>
    </row>
    <row r="91" spans="1:9" x14ac:dyDescent="0.25">
      <c r="A91">
        <v>0.9</v>
      </c>
      <c r="B91">
        <f t="shared" si="10"/>
        <v>1.3244294954150533</v>
      </c>
      <c r="C91">
        <f t="shared" si="11"/>
        <v>2.5</v>
      </c>
      <c r="D91">
        <f t="shared" si="12"/>
        <v>-1.1755705045849467</v>
      </c>
      <c r="E91">
        <f t="shared" si="13"/>
        <v>1.9122147477075266</v>
      </c>
      <c r="F91">
        <f t="shared" si="9"/>
        <v>1.3</v>
      </c>
      <c r="G91">
        <f t="shared" si="14"/>
        <v>3.7</v>
      </c>
      <c r="H91">
        <f t="shared" si="15"/>
        <v>-4</v>
      </c>
      <c r="I91">
        <f t="shared" si="16"/>
        <v>4</v>
      </c>
    </row>
    <row r="92" spans="1:9" x14ac:dyDescent="0.25">
      <c r="A92">
        <v>0.91</v>
      </c>
      <c r="B92">
        <f t="shared" si="10"/>
        <v>1.4283464100420074</v>
      </c>
      <c r="C92">
        <f t="shared" si="11"/>
        <v>2.5</v>
      </c>
      <c r="D92">
        <f t="shared" si="12"/>
        <v>-1.0716535899579926</v>
      </c>
      <c r="E92">
        <f t="shared" si="13"/>
        <v>1.9641732050210037</v>
      </c>
      <c r="F92">
        <f t="shared" si="9"/>
        <v>1.3</v>
      </c>
      <c r="G92">
        <f t="shared" si="14"/>
        <v>3.7</v>
      </c>
      <c r="H92">
        <f t="shared" si="15"/>
        <v>-4</v>
      </c>
      <c r="I92">
        <f t="shared" si="16"/>
        <v>4</v>
      </c>
    </row>
    <row r="93" spans="1:9" x14ac:dyDescent="0.25">
      <c r="A93">
        <v>0.92</v>
      </c>
      <c r="B93">
        <f t="shared" si="10"/>
        <v>1.5364926517965694</v>
      </c>
      <c r="C93">
        <f t="shared" si="11"/>
        <v>2.5</v>
      </c>
      <c r="D93">
        <f t="shared" si="12"/>
        <v>-0.96350734820343065</v>
      </c>
      <c r="E93">
        <f t="shared" si="13"/>
        <v>2.0182463258982848</v>
      </c>
      <c r="F93">
        <f t="shared" si="9"/>
        <v>1.3</v>
      </c>
      <c r="G93">
        <f t="shared" si="14"/>
        <v>3.7</v>
      </c>
      <c r="H93">
        <f t="shared" si="15"/>
        <v>-4</v>
      </c>
      <c r="I93">
        <f t="shared" si="16"/>
        <v>4</v>
      </c>
    </row>
    <row r="94" spans="1:9" x14ac:dyDescent="0.25">
      <c r="A94">
        <v>0.93</v>
      </c>
      <c r="B94">
        <f t="shared" si="10"/>
        <v>1.6484414168698556</v>
      </c>
      <c r="C94">
        <f t="shared" si="11"/>
        <v>2.5</v>
      </c>
      <c r="D94">
        <f t="shared" si="12"/>
        <v>-0.85155858313014443</v>
      </c>
      <c r="E94">
        <f t="shared" si="13"/>
        <v>2.074220708434928</v>
      </c>
      <c r="F94">
        <f t="shared" si="9"/>
        <v>1.3</v>
      </c>
      <c r="G94">
        <f t="shared" si="14"/>
        <v>3.7</v>
      </c>
      <c r="H94">
        <f t="shared" si="15"/>
        <v>-4</v>
      </c>
      <c r="I94">
        <f t="shared" si="16"/>
        <v>4</v>
      </c>
    </row>
    <row r="95" spans="1:9" x14ac:dyDescent="0.25">
      <c r="A95">
        <v>0.94</v>
      </c>
      <c r="B95">
        <f t="shared" si="10"/>
        <v>1.7637508946306426</v>
      </c>
      <c r="C95">
        <f t="shared" si="11"/>
        <v>2.5</v>
      </c>
      <c r="D95">
        <f t="shared" si="12"/>
        <v>-0.73624910536935739</v>
      </c>
      <c r="E95">
        <f t="shared" si="13"/>
        <v>2.1318754473153212</v>
      </c>
      <c r="F95">
        <f t="shared" si="9"/>
        <v>1.3</v>
      </c>
      <c r="G95">
        <f t="shared" si="14"/>
        <v>3.7</v>
      </c>
      <c r="H95">
        <f t="shared" si="15"/>
        <v>-4</v>
      </c>
      <c r="I95">
        <f t="shared" si="16"/>
        <v>4</v>
      </c>
    </row>
    <row r="96" spans="1:9" x14ac:dyDescent="0.25">
      <c r="A96">
        <v>0.95</v>
      </c>
      <c r="B96">
        <f t="shared" si="10"/>
        <v>1.8819660112501047</v>
      </c>
      <c r="C96">
        <f t="shared" si="11"/>
        <v>2.5</v>
      </c>
      <c r="D96">
        <f t="shared" si="12"/>
        <v>-0.61803398874989535</v>
      </c>
      <c r="E96">
        <f t="shared" si="13"/>
        <v>2.1909830056250525</v>
      </c>
      <c r="F96">
        <f t="shared" si="9"/>
        <v>1.3</v>
      </c>
      <c r="G96">
        <f t="shared" si="14"/>
        <v>3.7</v>
      </c>
      <c r="H96">
        <f t="shared" si="15"/>
        <v>-4</v>
      </c>
      <c r="I96">
        <f t="shared" si="16"/>
        <v>4</v>
      </c>
    </row>
    <row r="97" spans="1:9" x14ac:dyDescent="0.25">
      <c r="A97">
        <v>0.96</v>
      </c>
      <c r="B97">
        <f t="shared" si="10"/>
        <v>2.0026202256702894</v>
      </c>
      <c r="C97">
        <f t="shared" si="11"/>
        <v>2.5</v>
      </c>
      <c r="D97">
        <f t="shared" si="12"/>
        <v>-0.49737977432971059</v>
      </c>
      <c r="E97">
        <f t="shared" si="13"/>
        <v>2.2513101128351449</v>
      </c>
      <c r="F97">
        <f t="shared" si="9"/>
        <v>1.3</v>
      </c>
      <c r="G97">
        <f t="shared" si="14"/>
        <v>3.7</v>
      </c>
      <c r="H97">
        <f t="shared" si="15"/>
        <v>-4</v>
      </c>
      <c r="I97">
        <f t="shared" si="16"/>
        <v>4</v>
      </c>
    </row>
    <row r="98" spans="1:9" x14ac:dyDescent="0.25">
      <c r="A98">
        <v>0.97</v>
      </c>
      <c r="B98">
        <f t="shared" si="10"/>
        <v>2.1252373708285508</v>
      </c>
      <c r="C98">
        <f t="shared" si="11"/>
        <v>2.5</v>
      </c>
      <c r="D98">
        <f t="shared" si="12"/>
        <v>-0.3747626291714492</v>
      </c>
      <c r="E98">
        <f t="shared" si="13"/>
        <v>2.3126186854142752</v>
      </c>
      <c r="F98">
        <f t="shared" ref="F98:F129" si="17">$L$2+0.3+($L$3*$L$4)/2</f>
        <v>1.3</v>
      </c>
      <c r="G98">
        <f t="shared" si="14"/>
        <v>3.7</v>
      </c>
      <c r="H98">
        <f t="shared" si="15"/>
        <v>-4</v>
      </c>
      <c r="I98">
        <f t="shared" si="16"/>
        <v>4</v>
      </c>
    </row>
    <row r="99" spans="1:9" x14ac:dyDescent="0.25">
      <c r="A99">
        <v>0.98</v>
      </c>
      <c r="B99">
        <f t="shared" si="10"/>
        <v>2.2493335328713906</v>
      </c>
      <c r="C99">
        <f t="shared" si="11"/>
        <v>2.5</v>
      </c>
      <c r="D99">
        <f t="shared" si="12"/>
        <v>-0.2506664671286094</v>
      </c>
      <c r="E99">
        <f t="shared" si="13"/>
        <v>2.3746667664356953</v>
      </c>
      <c r="F99">
        <f t="shared" si="17"/>
        <v>1.3</v>
      </c>
      <c r="G99">
        <f t="shared" si="14"/>
        <v>3.7</v>
      </c>
      <c r="H99">
        <f t="shared" si="15"/>
        <v>-4</v>
      </c>
      <c r="I99">
        <f t="shared" si="16"/>
        <v>4</v>
      </c>
    </row>
    <row r="100" spans="1:9" x14ac:dyDescent="0.25">
      <c r="A100">
        <v>0.99</v>
      </c>
      <c r="B100">
        <f t="shared" si="10"/>
        <v>2.3744189609413735</v>
      </c>
      <c r="C100">
        <f t="shared" si="11"/>
        <v>2.5</v>
      </c>
      <c r="D100">
        <f t="shared" si="12"/>
        <v>-0.1255810390586265</v>
      </c>
      <c r="E100">
        <f t="shared" si="13"/>
        <v>2.4372094804706865</v>
      </c>
      <c r="F100">
        <f t="shared" si="17"/>
        <v>1.3</v>
      </c>
      <c r="G100">
        <f t="shared" si="14"/>
        <v>3.7</v>
      </c>
      <c r="H100">
        <f t="shared" si="15"/>
        <v>-4</v>
      </c>
      <c r="I100">
        <f t="shared" si="16"/>
        <v>4</v>
      </c>
    </row>
    <row r="101" spans="1:9" x14ac:dyDescent="0.25">
      <c r="A101">
        <v>1</v>
      </c>
      <c r="B101">
        <f t="shared" si="10"/>
        <v>2.4999999999999996</v>
      </c>
      <c r="C101">
        <f t="shared" si="11"/>
        <v>2.5</v>
      </c>
      <c r="D101">
        <f t="shared" si="12"/>
        <v>0</v>
      </c>
      <c r="E101">
        <f t="shared" si="13"/>
        <v>2.5</v>
      </c>
      <c r="F101">
        <f t="shared" si="17"/>
        <v>1.3</v>
      </c>
      <c r="G101">
        <f t="shared" si="14"/>
        <v>3.7</v>
      </c>
      <c r="H101">
        <f t="shared" si="15"/>
        <v>-4</v>
      </c>
      <c r="I101">
        <f t="shared" si="16"/>
        <v>4</v>
      </c>
    </row>
    <row r="102" spans="1:9" x14ac:dyDescent="0.25">
      <c r="A102">
        <v>1.01</v>
      </c>
      <c r="B102">
        <f t="shared" si="10"/>
        <v>2.6255810390586256</v>
      </c>
      <c r="C102">
        <f t="shared" si="11"/>
        <v>2.5</v>
      </c>
      <c r="D102">
        <f t="shared" si="12"/>
        <v>0.12558103905862561</v>
      </c>
      <c r="E102">
        <f t="shared" si="13"/>
        <v>2.5627905195293126</v>
      </c>
      <c r="F102">
        <f t="shared" si="17"/>
        <v>1.3</v>
      </c>
      <c r="G102">
        <f t="shared" si="14"/>
        <v>3.7</v>
      </c>
      <c r="H102">
        <f t="shared" si="15"/>
        <v>-4</v>
      </c>
      <c r="I102">
        <f t="shared" si="16"/>
        <v>4</v>
      </c>
    </row>
    <row r="103" spans="1:9" x14ac:dyDescent="0.25">
      <c r="A103">
        <v>1.02</v>
      </c>
      <c r="B103">
        <f t="shared" si="10"/>
        <v>2.7506664671286085</v>
      </c>
      <c r="C103">
        <f t="shared" si="11"/>
        <v>2.5</v>
      </c>
      <c r="D103">
        <f t="shared" si="12"/>
        <v>0.25066646712860852</v>
      </c>
      <c r="E103">
        <f t="shared" si="13"/>
        <v>2.6253332335643043</v>
      </c>
      <c r="F103">
        <f t="shared" si="17"/>
        <v>1.3</v>
      </c>
      <c r="G103">
        <f t="shared" si="14"/>
        <v>3.7</v>
      </c>
      <c r="H103">
        <f t="shared" si="15"/>
        <v>-4</v>
      </c>
      <c r="I103">
        <f t="shared" si="16"/>
        <v>4</v>
      </c>
    </row>
    <row r="104" spans="1:9" x14ac:dyDescent="0.25">
      <c r="A104">
        <v>1.03</v>
      </c>
      <c r="B104">
        <f t="shared" si="10"/>
        <v>2.8747626291714483</v>
      </c>
      <c r="C104">
        <f t="shared" si="11"/>
        <v>2.5</v>
      </c>
      <c r="D104">
        <f t="shared" si="12"/>
        <v>0.37476262917144831</v>
      </c>
      <c r="E104">
        <f t="shared" si="13"/>
        <v>2.6873813145857239</v>
      </c>
      <c r="F104">
        <f t="shared" si="17"/>
        <v>1.3</v>
      </c>
      <c r="G104">
        <f t="shared" si="14"/>
        <v>3.7</v>
      </c>
      <c r="H104">
        <f t="shared" si="15"/>
        <v>-4</v>
      </c>
      <c r="I104">
        <f t="shared" si="16"/>
        <v>4</v>
      </c>
    </row>
    <row r="105" spans="1:9" x14ac:dyDescent="0.25">
      <c r="A105">
        <v>1.04</v>
      </c>
      <c r="B105">
        <f t="shared" si="10"/>
        <v>2.9973797743297097</v>
      </c>
      <c r="C105">
        <f t="shared" si="11"/>
        <v>2.5</v>
      </c>
      <c r="D105">
        <f t="shared" si="12"/>
        <v>0.4973797743297097</v>
      </c>
      <c r="E105">
        <f t="shared" si="13"/>
        <v>2.7486898871648551</v>
      </c>
      <c r="F105">
        <f t="shared" si="17"/>
        <v>1.3</v>
      </c>
      <c r="G105">
        <f t="shared" si="14"/>
        <v>3.7</v>
      </c>
      <c r="H105">
        <f t="shared" si="15"/>
        <v>-4</v>
      </c>
      <c r="I105">
        <f t="shared" si="16"/>
        <v>4</v>
      </c>
    </row>
    <row r="106" spans="1:9" x14ac:dyDescent="0.25">
      <c r="A106">
        <v>1.05</v>
      </c>
      <c r="B106">
        <f t="shared" si="10"/>
        <v>3.1180339887498945</v>
      </c>
      <c r="C106">
        <f t="shared" si="11"/>
        <v>2.5</v>
      </c>
      <c r="D106">
        <f t="shared" si="12"/>
        <v>0.61803398874989446</v>
      </c>
      <c r="E106">
        <f t="shared" si="13"/>
        <v>2.8090169943749475</v>
      </c>
      <c r="F106">
        <f t="shared" si="17"/>
        <v>1.3</v>
      </c>
      <c r="G106">
        <f t="shared" si="14"/>
        <v>3.7</v>
      </c>
      <c r="H106">
        <f t="shared" si="15"/>
        <v>-4</v>
      </c>
      <c r="I106">
        <f t="shared" si="16"/>
        <v>4</v>
      </c>
    </row>
    <row r="107" spans="1:9" x14ac:dyDescent="0.25">
      <c r="A107">
        <v>1.06</v>
      </c>
      <c r="B107">
        <f t="shared" si="10"/>
        <v>3.2362491053693563</v>
      </c>
      <c r="C107">
        <f t="shared" si="11"/>
        <v>2.5</v>
      </c>
      <c r="D107">
        <f t="shared" si="12"/>
        <v>0.73624910536935628</v>
      </c>
      <c r="E107">
        <f t="shared" si="13"/>
        <v>2.8681245526846784</v>
      </c>
      <c r="F107">
        <f t="shared" si="17"/>
        <v>1.3</v>
      </c>
      <c r="G107">
        <f t="shared" si="14"/>
        <v>3.7</v>
      </c>
      <c r="H107">
        <f t="shared" si="15"/>
        <v>-4</v>
      </c>
      <c r="I107">
        <f t="shared" si="16"/>
        <v>4</v>
      </c>
    </row>
    <row r="108" spans="1:9" x14ac:dyDescent="0.25">
      <c r="A108">
        <v>1.07</v>
      </c>
      <c r="B108">
        <f t="shared" si="10"/>
        <v>3.3515585831301449</v>
      </c>
      <c r="C108">
        <f t="shared" si="11"/>
        <v>2.5</v>
      </c>
      <c r="D108">
        <f t="shared" si="12"/>
        <v>0.85155858313014487</v>
      </c>
      <c r="E108">
        <f t="shared" si="13"/>
        <v>2.9257792915650724</v>
      </c>
      <c r="F108">
        <f t="shared" si="17"/>
        <v>1.3</v>
      </c>
      <c r="G108">
        <f t="shared" si="14"/>
        <v>3.7</v>
      </c>
      <c r="H108">
        <f t="shared" si="15"/>
        <v>-4</v>
      </c>
      <c r="I108">
        <f t="shared" si="16"/>
        <v>4</v>
      </c>
    </row>
    <row r="109" spans="1:9" x14ac:dyDescent="0.25">
      <c r="A109">
        <v>1.08</v>
      </c>
      <c r="B109">
        <f t="shared" si="10"/>
        <v>3.4635073482034313</v>
      </c>
      <c r="C109">
        <f t="shared" si="11"/>
        <v>2.5</v>
      </c>
      <c r="D109">
        <f t="shared" si="12"/>
        <v>0.96350734820343131</v>
      </c>
      <c r="E109">
        <f t="shared" si="13"/>
        <v>2.9817536741017157</v>
      </c>
      <c r="F109">
        <f t="shared" si="17"/>
        <v>1.3</v>
      </c>
      <c r="G109">
        <f t="shared" si="14"/>
        <v>3.7</v>
      </c>
      <c r="H109">
        <f t="shared" si="15"/>
        <v>-4</v>
      </c>
      <c r="I109">
        <f t="shared" si="16"/>
        <v>4</v>
      </c>
    </row>
    <row r="110" spans="1:9" x14ac:dyDescent="0.25">
      <c r="A110">
        <v>1.0900000000000001</v>
      </c>
      <c r="B110">
        <f t="shared" si="10"/>
        <v>3.5716535899579931</v>
      </c>
      <c r="C110">
        <f t="shared" si="11"/>
        <v>2.5</v>
      </c>
      <c r="D110">
        <f t="shared" si="12"/>
        <v>1.0716535899579931</v>
      </c>
      <c r="E110">
        <f t="shared" si="13"/>
        <v>3.0358267949789965</v>
      </c>
      <c r="F110">
        <f t="shared" si="17"/>
        <v>1.3</v>
      </c>
      <c r="G110">
        <f t="shared" si="14"/>
        <v>3.7</v>
      </c>
      <c r="H110">
        <f t="shared" si="15"/>
        <v>-4</v>
      </c>
      <c r="I110">
        <f t="shared" si="16"/>
        <v>4</v>
      </c>
    </row>
    <row r="111" spans="1:9" x14ac:dyDescent="0.25">
      <c r="A111">
        <v>1.1000000000000001</v>
      </c>
      <c r="B111">
        <f t="shared" si="10"/>
        <v>3.6755705045849472</v>
      </c>
      <c r="C111">
        <f t="shared" si="11"/>
        <v>2.5</v>
      </c>
      <c r="D111">
        <f t="shared" si="12"/>
        <v>1.1755705045849472</v>
      </c>
      <c r="E111">
        <f t="shared" si="13"/>
        <v>3.0877852522924734</v>
      </c>
      <c r="F111">
        <f t="shared" si="17"/>
        <v>1.3</v>
      </c>
      <c r="G111">
        <f t="shared" si="14"/>
        <v>3.7</v>
      </c>
      <c r="H111">
        <f t="shared" si="15"/>
        <v>-4</v>
      </c>
      <c r="I111">
        <f t="shared" si="16"/>
        <v>4</v>
      </c>
    </row>
    <row r="112" spans="1:9" x14ac:dyDescent="0.25">
      <c r="A112">
        <v>1.1100000000000001</v>
      </c>
      <c r="B112">
        <f t="shared" si="10"/>
        <v>3.7748479794973795</v>
      </c>
      <c r="C112">
        <f t="shared" si="11"/>
        <v>2.5</v>
      </c>
      <c r="D112">
        <f t="shared" si="12"/>
        <v>1.2748479794973795</v>
      </c>
      <c r="E112">
        <f t="shared" si="13"/>
        <v>3.1374239897486897</v>
      </c>
      <c r="F112">
        <f t="shared" si="17"/>
        <v>1.3</v>
      </c>
      <c r="G112">
        <f t="shared" si="14"/>
        <v>3.7</v>
      </c>
      <c r="H112">
        <f t="shared" si="15"/>
        <v>-4</v>
      </c>
      <c r="I112">
        <f t="shared" si="16"/>
        <v>4</v>
      </c>
    </row>
    <row r="113" spans="1:9" x14ac:dyDescent="0.25">
      <c r="A113">
        <v>1.1200000000000001</v>
      </c>
      <c r="B113">
        <f t="shared" si="10"/>
        <v>3.8690942118573783</v>
      </c>
      <c r="C113">
        <f t="shared" si="11"/>
        <v>2.5</v>
      </c>
      <c r="D113">
        <f t="shared" si="12"/>
        <v>1.3690942118573783</v>
      </c>
      <c r="E113">
        <f t="shared" si="13"/>
        <v>3.1845471059286892</v>
      </c>
      <c r="F113">
        <f t="shared" si="17"/>
        <v>1.3</v>
      </c>
      <c r="G113">
        <f t="shared" si="14"/>
        <v>3.7</v>
      </c>
      <c r="H113">
        <f t="shared" si="15"/>
        <v>-4</v>
      </c>
      <c r="I113">
        <f t="shared" si="16"/>
        <v>4</v>
      </c>
    </row>
    <row r="114" spans="1:9" x14ac:dyDescent="0.25">
      <c r="A114">
        <v>1.1299999999999999</v>
      </c>
      <c r="B114">
        <f t="shared" si="10"/>
        <v>3.9579372548428209</v>
      </c>
      <c r="C114">
        <f t="shared" si="11"/>
        <v>2.5</v>
      </c>
      <c r="D114">
        <f t="shared" si="12"/>
        <v>1.4579372548428209</v>
      </c>
      <c r="E114">
        <f t="shared" si="13"/>
        <v>3.2289686274214104</v>
      </c>
      <c r="F114">
        <f t="shared" si="17"/>
        <v>1.3</v>
      </c>
      <c r="G114">
        <f t="shared" si="14"/>
        <v>3.7</v>
      </c>
      <c r="H114">
        <f t="shared" si="15"/>
        <v>-4</v>
      </c>
      <c r="I114">
        <f t="shared" si="16"/>
        <v>4</v>
      </c>
    </row>
    <row r="115" spans="1:9" x14ac:dyDescent="0.25">
      <c r="A115">
        <v>1.1399999999999999</v>
      </c>
      <c r="B115">
        <f t="shared" si="10"/>
        <v>4.0410264855515772</v>
      </c>
      <c r="C115">
        <f t="shared" si="11"/>
        <v>2.5</v>
      </c>
      <c r="D115">
        <f t="shared" si="12"/>
        <v>1.5410264855515772</v>
      </c>
      <c r="E115">
        <f t="shared" si="13"/>
        <v>3.2705132427757886</v>
      </c>
      <c r="F115">
        <f t="shared" si="17"/>
        <v>1.3</v>
      </c>
      <c r="G115">
        <f t="shared" si="14"/>
        <v>3.7</v>
      </c>
      <c r="H115">
        <f t="shared" si="15"/>
        <v>-4</v>
      </c>
      <c r="I115">
        <f t="shared" si="16"/>
        <v>4</v>
      </c>
    </row>
    <row r="116" spans="1:9" x14ac:dyDescent="0.25">
      <c r="A116">
        <v>1.1499999999999999</v>
      </c>
      <c r="B116">
        <f t="shared" si="10"/>
        <v>4.1180339887498931</v>
      </c>
      <c r="C116">
        <f t="shared" si="11"/>
        <v>2.5</v>
      </c>
      <c r="D116">
        <f t="shared" si="12"/>
        <v>1.6180339887498931</v>
      </c>
      <c r="E116">
        <f t="shared" si="13"/>
        <v>3.3090169943749466</v>
      </c>
      <c r="F116">
        <f t="shared" si="17"/>
        <v>1.3</v>
      </c>
      <c r="G116">
        <f t="shared" si="14"/>
        <v>3.7</v>
      </c>
      <c r="H116">
        <f t="shared" si="15"/>
        <v>-4</v>
      </c>
      <c r="I116">
        <f t="shared" si="16"/>
        <v>4</v>
      </c>
    </row>
    <row r="117" spans="1:9" x14ac:dyDescent="0.25">
      <c r="A117">
        <v>1.1599999999999999</v>
      </c>
      <c r="B117">
        <f t="shared" si="10"/>
        <v>4.1886558510040297</v>
      </c>
      <c r="C117">
        <f t="shared" si="11"/>
        <v>2.5</v>
      </c>
      <c r="D117">
        <f t="shared" si="12"/>
        <v>1.6886558510040297</v>
      </c>
      <c r="E117">
        <f t="shared" si="13"/>
        <v>3.3443279255020149</v>
      </c>
      <c r="F117">
        <f t="shared" si="17"/>
        <v>1.3</v>
      </c>
      <c r="G117">
        <f t="shared" si="14"/>
        <v>3.7</v>
      </c>
      <c r="H117">
        <f t="shared" si="15"/>
        <v>-4</v>
      </c>
      <c r="I117">
        <f t="shared" si="16"/>
        <v>4</v>
      </c>
    </row>
    <row r="118" spans="1:9" x14ac:dyDescent="0.25">
      <c r="A118">
        <v>1.17</v>
      </c>
      <c r="B118">
        <f t="shared" si="10"/>
        <v>4.2526133600877261</v>
      </c>
      <c r="C118">
        <f t="shared" si="11"/>
        <v>2.5</v>
      </c>
      <c r="D118">
        <f t="shared" si="12"/>
        <v>1.7526133600877261</v>
      </c>
      <c r="E118">
        <f t="shared" si="13"/>
        <v>3.376306680043863</v>
      </c>
      <c r="F118">
        <f t="shared" si="17"/>
        <v>1.3</v>
      </c>
      <c r="G118">
        <f t="shared" si="14"/>
        <v>3.7</v>
      </c>
      <c r="H118">
        <f t="shared" si="15"/>
        <v>-4</v>
      </c>
      <c r="I118">
        <f t="shared" si="16"/>
        <v>4</v>
      </c>
    </row>
    <row r="119" spans="1:9" x14ac:dyDescent="0.25">
      <c r="A119">
        <v>1.18</v>
      </c>
      <c r="B119">
        <f t="shared" si="10"/>
        <v>4.3096541049320383</v>
      </c>
      <c r="C119">
        <f t="shared" si="11"/>
        <v>2.5</v>
      </c>
      <c r="D119">
        <f t="shared" si="12"/>
        <v>1.8096541049320383</v>
      </c>
      <c r="E119">
        <f t="shared" si="13"/>
        <v>3.4048270524660191</v>
      </c>
      <c r="F119">
        <f t="shared" si="17"/>
        <v>1.3</v>
      </c>
      <c r="G119">
        <f t="shared" si="14"/>
        <v>3.7</v>
      </c>
      <c r="H119">
        <f t="shared" si="15"/>
        <v>-4</v>
      </c>
      <c r="I119">
        <f t="shared" si="16"/>
        <v>4</v>
      </c>
    </row>
    <row r="120" spans="1:9" x14ac:dyDescent="0.25">
      <c r="A120">
        <v>1.19</v>
      </c>
      <c r="B120">
        <f t="shared" si="10"/>
        <v>4.3595529717765018</v>
      </c>
      <c r="C120">
        <f t="shared" si="11"/>
        <v>2.5</v>
      </c>
      <c r="D120">
        <f t="shared" si="12"/>
        <v>1.8595529717765018</v>
      </c>
      <c r="E120">
        <f t="shared" si="13"/>
        <v>3.4297764858882509</v>
      </c>
      <c r="F120">
        <f t="shared" si="17"/>
        <v>1.3</v>
      </c>
      <c r="G120">
        <f t="shared" si="14"/>
        <v>3.7</v>
      </c>
      <c r="H120">
        <f t="shared" si="15"/>
        <v>-4</v>
      </c>
      <c r="I120">
        <f t="shared" si="16"/>
        <v>4</v>
      </c>
    </row>
    <row r="121" spans="1:9" x14ac:dyDescent="0.25">
      <c r="A121">
        <v>1.2</v>
      </c>
      <c r="B121">
        <f t="shared" si="10"/>
        <v>4.4021130325903073</v>
      </c>
      <c r="C121">
        <f t="shared" si="11"/>
        <v>2.5</v>
      </c>
      <c r="D121">
        <f t="shared" si="12"/>
        <v>1.9021130325903073</v>
      </c>
      <c r="E121">
        <f t="shared" si="13"/>
        <v>3.4510565162951536</v>
      </c>
      <c r="F121">
        <f t="shared" si="17"/>
        <v>1.3</v>
      </c>
      <c r="G121">
        <f t="shared" si="14"/>
        <v>3.7</v>
      </c>
      <c r="H121">
        <f t="shared" si="15"/>
        <v>-4</v>
      </c>
      <c r="I121">
        <f t="shared" si="16"/>
        <v>4</v>
      </c>
    </row>
    <row r="122" spans="1:9" x14ac:dyDescent="0.25">
      <c r="A122">
        <v>1.21</v>
      </c>
      <c r="B122">
        <f t="shared" si="10"/>
        <v>4.4371663222572622</v>
      </c>
      <c r="C122">
        <f t="shared" si="11"/>
        <v>2.5</v>
      </c>
      <c r="D122">
        <f t="shared" si="12"/>
        <v>1.9371663222572622</v>
      </c>
      <c r="E122">
        <f t="shared" si="13"/>
        <v>3.4685831611286311</v>
      </c>
      <c r="F122">
        <f t="shared" si="17"/>
        <v>1.3</v>
      </c>
      <c r="G122">
        <f t="shared" si="14"/>
        <v>3.7</v>
      </c>
      <c r="H122">
        <f t="shared" si="15"/>
        <v>-4</v>
      </c>
      <c r="I122">
        <f t="shared" si="16"/>
        <v>4</v>
      </c>
    </row>
    <row r="123" spans="1:9" x14ac:dyDescent="0.25">
      <c r="A123">
        <v>1.22</v>
      </c>
      <c r="B123">
        <f t="shared" si="10"/>
        <v>4.4645745014573777</v>
      </c>
      <c r="C123">
        <f t="shared" si="11"/>
        <v>2.5</v>
      </c>
      <c r="D123">
        <f t="shared" si="12"/>
        <v>1.9645745014573777</v>
      </c>
      <c r="E123">
        <f t="shared" si="13"/>
        <v>3.4822872507286888</v>
      </c>
      <c r="F123">
        <f t="shared" si="17"/>
        <v>1.3</v>
      </c>
      <c r="G123">
        <f t="shared" si="14"/>
        <v>3.7</v>
      </c>
      <c r="H123">
        <f t="shared" si="15"/>
        <v>-4</v>
      </c>
      <c r="I123">
        <f t="shared" si="16"/>
        <v>4</v>
      </c>
    </row>
    <row r="124" spans="1:9" x14ac:dyDescent="0.25">
      <c r="A124">
        <v>1.23</v>
      </c>
      <c r="B124">
        <f t="shared" si="10"/>
        <v>4.4842294026289551</v>
      </c>
      <c r="C124">
        <f t="shared" si="11"/>
        <v>2.5</v>
      </c>
      <c r="D124">
        <f t="shared" si="12"/>
        <v>1.9842294026289551</v>
      </c>
      <c r="E124">
        <f t="shared" si="13"/>
        <v>3.4921147013144775</v>
      </c>
      <c r="F124">
        <f t="shared" si="17"/>
        <v>1.3</v>
      </c>
      <c r="G124">
        <f t="shared" si="14"/>
        <v>3.7</v>
      </c>
      <c r="H124">
        <f t="shared" si="15"/>
        <v>-4</v>
      </c>
      <c r="I124">
        <f t="shared" si="16"/>
        <v>4</v>
      </c>
    </row>
    <row r="125" spans="1:9" x14ac:dyDescent="0.25">
      <c r="A125">
        <v>1.24</v>
      </c>
      <c r="B125">
        <f t="shared" si="10"/>
        <v>4.4960534568565436</v>
      </c>
      <c r="C125">
        <f t="shared" si="11"/>
        <v>2.5</v>
      </c>
      <c r="D125">
        <f t="shared" si="12"/>
        <v>1.9960534568565436</v>
      </c>
      <c r="E125">
        <f t="shared" si="13"/>
        <v>3.4980267284282718</v>
      </c>
      <c r="F125">
        <f t="shared" si="17"/>
        <v>1.3</v>
      </c>
      <c r="G125">
        <f t="shared" si="14"/>
        <v>3.7</v>
      </c>
      <c r="H125">
        <f t="shared" si="15"/>
        <v>-4</v>
      </c>
      <c r="I125">
        <f t="shared" si="16"/>
        <v>4</v>
      </c>
    </row>
    <row r="126" spans="1:9" x14ac:dyDescent="0.25">
      <c r="A126">
        <v>1.25</v>
      </c>
      <c r="B126">
        <f t="shared" si="10"/>
        <v>4.5</v>
      </c>
      <c r="C126">
        <f t="shared" si="11"/>
        <v>2.5</v>
      </c>
      <c r="D126">
        <f t="shared" si="12"/>
        <v>2</v>
      </c>
      <c r="E126">
        <f t="shared" si="13"/>
        <v>3.5</v>
      </c>
      <c r="F126">
        <f t="shared" si="17"/>
        <v>1.3</v>
      </c>
      <c r="G126">
        <f t="shared" si="14"/>
        <v>3.7</v>
      </c>
      <c r="H126">
        <f t="shared" si="15"/>
        <v>-4</v>
      </c>
      <c r="I126">
        <f t="shared" si="16"/>
        <v>4</v>
      </c>
    </row>
    <row r="127" spans="1:9" x14ac:dyDescent="0.25">
      <c r="A127">
        <v>1.26</v>
      </c>
      <c r="B127">
        <f t="shared" si="10"/>
        <v>4.4960534568565436</v>
      </c>
      <c r="C127">
        <f t="shared" si="11"/>
        <v>2.5</v>
      </c>
      <c r="D127">
        <f t="shared" si="12"/>
        <v>1.9960534568565436</v>
      </c>
      <c r="E127">
        <f t="shared" si="13"/>
        <v>3.4980267284282718</v>
      </c>
      <c r="F127">
        <f t="shared" si="17"/>
        <v>1.3</v>
      </c>
      <c r="G127">
        <f t="shared" si="14"/>
        <v>3.7</v>
      </c>
      <c r="H127">
        <f t="shared" si="15"/>
        <v>-4</v>
      </c>
      <c r="I127">
        <f t="shared" si="16"/>
        <v>4</v>
      </c>
    </row>
    <row r="128" spans="1:9" x14ac:dyDescent="0.25">
      <c r="A128">
        <v>1.27</v>
      </c>
      <c r="B128">
        <f t="shared" si="10"/>
        <v>4.484229402628956</v>
      </c>
      <c r="C128">
        <f t="shared" si="11"/>
        <v>2.5</v>
      </c>
      <c r="D128">
        <f t="shared" si="12"/>
        <v>1.984229402628956</v>
      </c>
      <c r="E128">
        <f t="shared" si="13"/>
        <v>3.492114701314478</v>
      </c>
      <c r="F128">
        <f t="shared" si="17"/>
        <v>1.3</v>
      </c>
      <c r="G128">
        <f t="shared" si="14"/>
        <v>3.7</v>
      </c>
      <c r="H128">
        <f t="shared" si="15"/>
        <v>-4</v>
      </c>
      <c r="I128">
        <f t="shared" si="16"/>
        <v>4</v>
      </c>
    </row>
    <row r="129" spans="1:9" x14ac:dyDescent="0.25">
      <c r="A129">
        <v>1.28</v>
      </c>
      <c r="B129">
        <f t="shared" si="10"/>
        <v>4.4645745014573777</v>
      </c>
      <c r="C129">
        <f t="shared" si="11"/>
        <v>2.5</v>
      </c>
      <c r="D129">
        <f t="shared" si="12"/>
        <v>1.9645745014573777</v>
      </c>
      <c r="E129">
        <f t="shared" si="13"/>
        <v>3.4822872507286888</v>
      </c>
      <c r="F129">
        <f t="shared" si="17"/>
        <v>1.3</v>
      </c>
      <c r="G129">
        <f t="shared" si="14"/>
        <v>3.7</v>
      </c>
      <c r="H129">
        <f t="shared" si="15"/>
        <v>-4</v>
      </c>
      <c r="I129">
        <f t="shared" si="16"/>
        <v>4</v>
      </c>
    </row>
    <row r="130" spans="1:9" x14ac:dyDescent="0.25">
      <c r="A130">
        <v>1.29</v>
      </c>
      <c r="B130">
        <f t="shared" si="10"/>
        <v>4.4371663222572622</v>
      </c>
      <c r="C130">
        <f t="shared" si="11"/>
        <v>2.5</v>
      </c>
      <c r="D130">
        <f t="shared" si="12"/>
        <v>1.9371663222572622</v>
      </c>
      <c r="E130">
        <f t="shared" si="13"/>
        <v>3.4685831611286311</v>
      </c>
      <c r="F130">
        <f t="shared" ref="F130:F161" si="18">$L$2+0.3+($L$3*$L$4)/2</f>
        <v>1.3</v>
      </c>
      <c r="G130">
        <f t="shared" si="14"/>
        <v>3.7</v>
      </c>
      <c r="H130">
        <f t="shared" si="15"/>
        <v>-4</v>
      </c>
      <c r="I130">
        <f t="shared" si="16"/>
        <v>4</v>
      </c>
    </row>
    <row r="131" spans="1:9" x14ac:dyDescent="0.25">
      <c r="A131">
        <v>1.3</v>
      </c>
      <c r="B131">
        <f t="shared" ref="B131:B184" si="19">$L$6*SIN(2*PI()*1*A131)+$L$5</f>
        <v>4.4021130325903073</v>
      </c>
      <c r="C131">
        <f t="shared" ref="C131:C184" si="20">$O$1</f>
        <v>2.5</v>
      </c>
      <c r="D131">
        <f t="shared" ref="D131:D184" si="21">B131-C131</f>
        <v>1.9021130325903073</v>
      </c>
      <c r="E131">
        <f t="shared" ref="E131:E184" si="22">(B131+C131)/2</f>
        <v>3.4510565162951536</v>
      </c>
      <c r="F131">
        <f t="shared" si="18"/>
        <v>1.3</v>
      </c>
      <c r="G131">
        <f t="shared" ref="G131:G184" si="23">$L$1-0.3-($L$3*$L$4)/2</f>
        <v>3.7</v>
      </c>
      <c r="H131">
        <f t="shared" ref="H131:H184" si="24">-$L$7/$L$3</f>
        <v>-4</v>
      </c>
      <c r="I131">
        <f t="shared" ref="I131:I184" si="25">$L$7/$L$3</f>
        <v>4</v>
      </c>
    </row>
    <row r="132" spans="1:9" x14ac:dyDescent="0.25">
      <c r="A132">
        <v>1.31</v>
      </c>
      <c r="B132">
        <f t="shared" si="19"/>
        <v>4.3595529717765036</v>
      </c>
      <c r="C132">
        <f t="shared" si="20"/>
        <v>2.5</v>
      </c>
      <c r="D132">
        <f t="shared" si="21"/>
        <v>1.8595529717765036</v>
      </c>
      <c r="E132">
        <f t="shared" si="22"/>
        <v>3.4297764858882518</v>
      </c>
      <c r="F132">
        <f t="shared" si="18"/>
        <v>1.3</v>
      </c>
      <c r="G132">
        <f t="shared" si="23"/>
        <v>3.7</v>
      </c>
      <c r="H132">
        <f t="shared" si="24"/>
        <v>-4</v>
      </c>
      <c r="I132">
        <f t="shared" si="25"/>
        <v>4</v>
      </c>
    </row>
    <row r="133" spans="1:9" x14ac:dyDescent="0.25">
      <c r="A133">
        <v>1.32</v>
      </c>
      <c r="B133">
        <f t="shared" si="19"/>
        <v>4.3096541049320383</v>
      </c>
      <c r="C133">
        <f t="shared" si="20"/>
        <v>2.5</v>
      </c>
      <c r="D133">
        <f t="shared" si="21"/>
        <v>1.8096541049320383</v>
      </c>
      <c r="E133">
        <f t="shared" si="22"/>
        <v>3.4048270524660191</v>
      </c>
      <c r="F133">
        <f t="shared" si="18"/>
        <v>1.3</v>
      </c>
      <c r="G133">
        <f t="shared" si="23"/>
        <v>3.7</v>
      </c>
      <c r="H133">
        <f t="shared" si="24"/>
        <v>-4</v>
      </c>
      <c r="I133">
        <f t="shared" si="25"/>
        <v>4</v>
      </c>
    </row>
    <row r="134" spans="1:9" x14ac:dyDescent="0.25">
      <c r="A134">
        <v>1.33</v>
      </c>
      <c r="B134">
        <f t="shared" si="19"/>
        <v>4.2526133600877269</v>
      </c>
      <c r="C134">
        <f t="shared" si="20"/>
        <v>2.5</v>
      </c>
      <c r="D134">
        <f t="shared" si="21"/>
        <v>1.7526133600877269</v>
      </c>
      <c r="E134">
        <f t="shared" si="22"/>
        <v>3.3763066800438635</v>
      </c>
      <c r="F134">
        <f t="shared" si="18"/>
        <v>1.3</v>
      </c>
      <c r="G134">
        <f t="shared" si="23"/>
        <v>3.7</v>
      </c>
      <c r="H134">
        <f t="shared" si="24"/>
        <v>-4</v>
      </c>
      <c r="I134">
        <f t="shared" si="25"/>
        <v>4</v>
      </c>
    </row>
    <row r="135" spans="1:9" x14ac:dyDescent="0.25">
      <c r="A135">
        <v>1.34</v>
      </c>
      <c r="B135">
        <f t="shared" si="19"/>
        <v>4.1886558510040306</v>
      </c>
      <c r="C135">
        <f t="shared" si="20"/>
        <v>2.5</v>
      </c>
      <c r="D135">
        <f t="shared" si="21"/>
        <v>1.6886558510040306</v>
      </c>
      <c r="E135">
        <f t="shared" si="22"/>
        <v>3.3443279255020153</v>
      </c>
      <c r="F135">
        <f t="shared" si="18"/>
        <v>1.3</v>
      </c>
      <c r="G135">
        <f t="shared" si="23"/>
        <v>3.7</v>
      </c>
      <c r="H135">
        <f t="shared" si="24"/>
        <v>-4</v>
      </c>
      <c r="I135">
        <f t="shared" si="25"/>
        <v>4</v>
      </c>
    </row>
    <row r="136" spans="1:9" x14ac:dyDescent="0.25">
      <c r="A136">
        <v>1.35</v>
      </c>
      <c r="B136">
        <f t="shared" si="19"/>
        <v>4.1180339887498949</v>
      </c>
      <c r="C136">
        <f t="shared" si="20"/>
        <v>2.5</v>
      </c>
      <c r="D136">
        <f t="shared" si="21"/>
        <v>1.6180339887498949</v>
      </c>
      <c r="E136">
        <f t="shared" si="22"/>
        <v>3.3090169943749475</v>
      </c>
      <c r="F136">
        <f t="shared" si="18"/>
        <v>1.3</v>
      </c>
      <c r="G136">
        <f t="shared" si="23"/>
        <v>3.7</v>
      </c>
      <c r="H136">
        <f t="shared" si="24"/>
        <v>-4</v>
      </c>
      <c r="I136">
        <f t="shared" si="25"/>
        <v>4</v>
      </c>
    </row>
    <row r="137" spans="1:9" x14ac:dyDescent="0.25">
      <c r="A137">
        <v>1.36</v>
      </c>
      <c r="B137">
        <f t="shared" si="19"/>
        <v>4.0410264855515772</v>
      </c>
      <c r="C137">
        <f t="shared" si="20"/>
        <v>2.5</v>
      </c>
      <c r="D137">
        <f t="shared" si="21"/>
        <v>1.5410264855515772</v>
      </c>
      <c r="E137">
        <f t="shared" si="22"/>
        <v>3.2705132427757886</v>
      </c>
      <c r="F137">
        <f t="shared" si="18"/>
        <v>1.3</v>
      </c>
      <c r="G137">
        <f t="shared" si="23"/>
        <v>3.7</v>
      </c>
      <c r="H137">
        <f t="shared" si="24"/>
        <v>-4</v>
      </c>
      <c r="I137">
        <f t="shared" si="25"/>
        <v>4</v>
      </c>
    </row>
    <row r="138" spans="1:9" x14ac:dyDescent="0.25">
      <c r="A138">
        <v>1.37</v>
      </c>
      <c r="B138">
        <f t="shared" si="19"/>
        <v>3.9579372548428218</v>
      </c>
      <c r="C138">
        <f t="shared" si="20"/>
        <v>2.5</v>
      </c>
      <c r="D138">
        <f t="shared" si="21"/>
        <v>1.4579372548428218</v>
      </c>
      <c r="E138">
        <f t="shared" si="22"/>
        <v>3.2289686274214109</v>
      </c>
      <c r="F138">
        <f t="shared" si="18"/>
        <v>1.3</v>
      </c>
      <c r="G138">
        <f t="shared" si="23"/>
        <v>3.7</v>
      </c>
      <c r="H138">
        <f t="shared" si="24"/>
        <v>-4</v>
      </c>
      <c r="I138">
        <f t="shared" si="25"/>
        <v>4</v>
      </c>
    </row>
    <row r="139" spans="1:9" x14ac:dyDescent="0.25">
      <c r="A139">
        <v>1.38</v>
      </c>
      <c r="B139">
        <f t="shared" si="19"/>
        <v>3.8690942118573792</v>
      </c>
      <c r="C139">
        <f t="shared" si="20"/>
        <v>2.5</v>
      </c>
      <c r="D139">
        <f t="shared" si="21"/>
        <v>1.3690942118573792</v>
      </c>
      <c r="E139">
        <f t="shared" si="22"/>
        <v>3.1845471059286896</v>
      </c>
      <c r="F139">
        <f t="shared" si="18"/>
        <v>1.3</v>
      </c>
      <c r="G139">
        <f t="shared" si="23"/>
        <v>3.7</v>
      </c>
      <c r="H139">
        <f t="shared" si="24"/>
        <v>-4</v>
      </c>
      <c r="I139">
        <f t="shared" si="25"/>
        <v>4</v>
      </c>
    </row>
    <row r="140" spans="1:9" x14ac:dyDescent="0.25">
      <c r="A140">
        <v>1.39</v>
      </c>
      <c r="B140">
        <f t="shared" si="19"/>
        <v>3.7748479794973822</v>
      </c>
      <c r="C140">
        <f t="shared" si="20"/>
        <v>2.5</v>
      </c>
      <c r="D140">
        <f t="shared" si="21"/>
        <v>1.2748479794973822</v>
      </c>
      <c r="E140">
        <f t="shared" si="22"/>
        <v>3.1374239897486911</v>
      </c>
      <c r="F140">
        <f t="shared" si="18"/>
        <v>1.3</v>
      </c>
      <c r="G140">
        <f t="shared" si="23"/>
        <v>3.7</v>
      </c>
      <c r="H140">
        <f t="shared" si="24"/>
        <v>-4</v>
      </c>
      <c r="I140">
        <f t="shared" si="25"/>
        <v>4</v>
      </c>
    </row>
    <row r="141" spans="1:9" x14ac:dyDescent="0.25">
      <c r="A141">
        <v>1.4</v>
      </c>
      <c r="B141">
        <f t="shared" si="19"/>
        <v>3.6755705045849467</v>
      </c>
      <c r="C141">
        <f t="shared" si="20"/>
        <v>2.5</v>
      </c>
      <c r="D141">
        <f t="shared" si="21"/>
        <v>1.1755705045849467</v>
      </c>
      <c r="E141">
        <f t="shared" si="22"/>
        <v>3.0877852522924734</v>
      </c>
      <c r="F141">
        <f t="shared" si="18"/>
        <v>1.3</v>
      </c>
      <c r="G141">
        <f t="shared" si="23"/>
        <v>3.7</v>
      </c>
      <c r="H141">
        <f t="shared" si="24"/>
        <v>-4</v>
      </c>
      <c r="I141">
        <f t="shared" si="25"/>
        <v>4</v>
      </c>
    </row>
    <row r="142" spans="1:9" x14ac:dyDescent="0.25">
      <c r="A142">
        <v>1.41</v>
      </c>
      <c r="B142">
        <f t="shared" si="19"/>
        <v>3.5716535899579944</v>
      </c>
      <c r="C142">
        <f t="shared" si="20"/>
        <v>2.5</v>
      </c>
      <c r="D142">
        <f t="shared" si="21"/>
        <v>1.0716535899579944</v>
      </c>
      <c r="E142">
        <f t="shared" si="22"/>
        <v>3.0358267949789974</v>
      </c>
      <c r="F142">
        <f t="shared" si="18"/>
        <v>1.3</v>
      </c>
      <c r="G142">
        <f t="shared" si="23"/>
        <v>3.7</v>
      </c>
      <c r="H142">
        <f t="shared" si="24"/>
        <v>-4</v>
      </c>
      <c r="I142">
        <f t="shared" si="25"/>
        <v>4</v>
      </c>
    </row>
    <row r="143" spans="1:9" x14ac:dyDescent="0.25">
      <c r="A143">
        <v>1.42</v>
      </c>
      <c r="B143">
        <f t="shared" si="19"/>
        <v>3.4635073482034322</v>
      </c>
      <c r="C143">
        <f t="shared" si="20"/>
        <v>2.5</v>
      </c>
      <c r="D143">
        <f t="shared" si="21"/>
        <v>0.9635073482034322</v>
      </c>
      <c r="E143">
        <f t="shared" si="22"/>
        <v>2.9817536741017161</v>
      </c>
      <c r="F143">
        <f t="shared" si="18"/>
        <v>1.3</v>
      </c>
      <c r="G143">
        <f t="shared" si="23"/>
        <v>3.7</v>
      </c>
      <c r="H143">
        <f t="shared" si="24"/>
        <v>-4</v>
      </c>
      <c r="I143">
        <f t="shared" si="25"/>
        <v>4</v>
      </c>
    </row>
    <row r="144" spans="1:9" x14ac:dyDescent="0.25">
      <c r="A144">
        <v>1.43</v>
      </c>
      <c r="B144">
        <f t="shared" si="19"/>
        <v>3.351558583130148</v>
      </c>
      <c r="C144">
        <f t="shared" si="20"/>
        <v>2.5</v>
      </c>
      <c r="D144">
        <f t="shared" si="21"/>
        <v>0.85155858313014798</v>
      </c>
      <c r="E144">
        <f t="shared" si="22"/>
        <v>2.9257792915650738</v>
      </c>
      <c r="F144">
        <f t="shared" si="18"/>
        <v>1.3</v>
      </c>
      <c r="G144">
        <f t="shared" si="23"/>
        <v>3.7</v>
      </c>
      <c r="H144">
        <f t="shared" si="24"/>
        <v>-4</v>
      </c>
      <c r="I144">
        <f t="shared" si="25"/>
        <v>4</v>
      </c>
    </row>
    <row r="145" spans="1:9" x14ac:dyDescent="0.25">
      <c r="A145">
        <v>1.44</v>
      </c>
      <c r="B145">
        <f t="shared" si="19"/>
        <v>3.2362491053693558</v>
      </c>
      <c r="C145">
        <f t="shared" si="20"/>
        <v>2.5</v>
      </c>
      <c r="D145">
        <f t="shared" si="21"/>
        <v>0.73624910536935584</v>
      </c>
      <c r="E145">
        <f t="shared" si="22"/>
        <v>2.8681245526846779</v>
      </c>
      <c r="F145">
        <f t="shared" si="18"/>
        <v>1.3</v>
      </c>
      <c r="G145">
        <f t="shared" si="23"/>
        <v>3.7</v>
      </c>
      <c r="H145">
        <f t="shared" si="24"/>
        <v>-4</v>
      </c>
      <c r="I145">
        <f t="shared" si="25"/>
        <v>4</v>
      </c>
    </row>
    <row r="146" spans="1:9" x14ac:dyDescent="0.25">
      <c r="A146">
        <v>1.45</v>
      </c>
      <c r="B146">
        <f t="shared" si="19"/>
        <v>3.1180339887498958</v>
      </c>
      <c r="C146">
        <f t="shared" si="20"/>
        <v>2.5</v>
      </c>
      <c r="D146">
        <f t="shared" si="21"/>
        <v>0.61803398874989579</v>
      </c>
      <c r="E146">
        <f t="shared" si="22"/>
        <v>2.8090169943749479</v>
      </c>
      <c r="F146">
        <f t="shared" si="18"/>
        <v>1.3</v>
      </c>
      <c r="G146">
        <f t="shared" si="23"/>
        <v>3.7</v>
      </c>
      <c r="H146">
        <f t="shared" si="24"/>
        <v>-4</v>
      </c>
      <c r="I146">
        <f t="shared" si="25"/>
        <v>4</v>
      </c>
    </row>
    <row r="147" spans="1:9" x14ac:dyDescent="0.25">
      <c r="A147">
        <v>1.46</v>
      </c>
      <c r="B147">
        <f t="shared" si="19"/>
        <v>2.997379774329711</v>
      </c>
      <c r="C147">
        <f t="shared" si="20"/>
        <v>2.5</v>
      </c>
      <c r="D147">
        <f t="shared" si="21"/>
        <v>0.49737977432971103</v>
      </c>
      <c r="E147">
        <f t="shared" si="22"/>
        <v>2.7486898871648555</v>
      </c>
      <c r="F147">
        <f t="shared" si="18"/>
        <v>1.3</v>
      </c>
      <c r="G147">
        <f t="shared" si="23"/>
        <v>3.7</v>
      </c>
      <c r="H147">
        <f t="shared" si="24"/>
        <v>-4</v>
      </c>
      <c r="I147">
        <f t="shared" si="25"/>
        <v>4</v>
      </c>
    </row>
    <row r="148" spans="1:9" x14ac:dyDescent="0.25">
      <c r="A148">
        <v>1.47</v>
      </c>
      <c r="B148">
        <f t="shared" si="19"/>
        <v>2.8747626291714514</v>
      </c>
      <c r="C148">
        <f t="shared" si="20"/>
        <v>2.5</v>
      </c>
      <c r="D148">
        <f t="shared" si="21"/>
        <v>0.37476262917145142</v>
      </c>
      <c r="E148">
        <f t="shared" si="22"/>
        <v>2.6873813145857257</v>
      </c>
      <c r="F148">
        <f t="shared" si="18"/>
        <v>1.3</v>
      </c>
      <c r="G148">
        <f t="shared" si="23"/>
        <v>3.7</v>
      </c>
      <c r="H148">
        <f t="shared" si="24"/>
        <v>-4</v>
      </c>
      <c r="I148">
        <f t="shared" si="25"/>
        <v>4</v>
      </c>
    </row>
    <row r="149" spans="1:9" x14ac:dyDescent="0.25">
      <c r="A149">
        <v>1.48</v>
      </c>
      <c r="B149">
        <f t="shared" si="19"/>
        <v>2.7506664671286076</v>
      </c>
      <c r="C149">
        <f t="shared" si="20"/>
        <v>2.5</v>
      </c>
      <c r="D149">
        <f t="shared" si="21"/>
        <v>0.25066646712860763</v>
      </c>
      <c r="E149">
        <f t="shared" si="22"/>
        <v>2.6253332335643038</v>
      </c>
      <c r="F149">
        <f t="shared" si="18"/>
        <v>1.3</v>
      </c>
      <c r="G149">
        <f t="shared" si="23"/>
        <v>3.7</v>
      </c>
      <c r="H149">
        <f t="shared" si="24"/>
        <v>-4</v>
      </c>
      <c r="I149">
        <f t="shared" si="25"/>
        <v>4</v>
      </c>
    </row>
    <row r="150" spans="1:9" x14ac:dyDescent="0.25">
      <c r="A150">
        <v>1.49</v>
      </c>
      <c r="B150">
        <f t="shared" si="19"/>
        <v>2.6255810390586269</v>
      </c>
      <c r="C150">
        <f t="shared" si="20"/>
        <v>2.5</v>
      </c>
      <c r="D150">
        <f t="shared" si="21"/>
        <v>0.12558103905862694</v>
      </c>
      <c r="E150">
        <f t="shared" si="22"/>
        <v>2.5627905195293135</v>
      </c>
      <c r="F150">
        <f t="shared" si="18"/>
        <v>1.3</v>
      </c>
      <c r="G150">
        <f t="shared" si="23"/>
        <v>3.7</v>
      </c>
      <c r="H150">
        <f t="shared" si="24"/>
        <v>-4</v>
      </c>
      <c r="I150">
        <f t="shared" si="25"/>
        <v>4</v>
      </c>
    </row>
    <row r="151" spans="1:9" x14ac:dyDescent="0.25">
      <c r="A151">
        <v>1.5</v>
      </c>
      <c r="B151">
        <f t="shared" si="19"/>
        <v>2.5000000000000009</v>
      </c>
      <c r="C151">
        <f t="shared" si="20"/>
        <v>2.5</v>
      </c>
      <c r="D151">
        <f t="shared" si="21"/>
        <v>0</v>
      </c>
      <c r="E151">
        <f t="shared" si="22"/>
        <v>2.5000000000000004</v>
      </c>
      <c r="F151">
        <f t="shared" si="18"/>
        <v>1.3</v>
      </c>
      <c r="G151">
        <f t="shared" si="23"/>
        <v>3.7</v>
      </c>
      <c r="H151">
        <f t="shared" si="24"/>
        <v>-4</v>
      </c>
      <c r="I151">
        <f t="shared" si="25"/>
        <v>4</v>
      </c>
    </row>
    <row r="152" spans="1:9" x14ac:dyDescent="0.25">
      <c r="A152">
        <v>1.51</v>
      </c>
      <c r="B152">
        <f t="shared" si="19"/>
        <v>2.3744189609413748</v>
      </c>
      <c r="C152">
        <f t="shared" si="20"/>
        <v>2.5</v>
      </c>
      <c r="D152">
        <f t="shared" si="21"/>
        <v>-0.12558103905862517</v>
      </c>
      <c r="E152">
        <f t="shared" si="22"/>
        <v>2.4372094804706874</v>
      </c>
      <c r="F152">
        <f t="shared" si="18"/>
        <v>1.3</v>
      </c>
      <c r="G152">
        <f t="shared" si="23"/>
        <v>3.7</v>
      </c>
      <c r="H152">
        <f t="shared" si="24"/>
        <v>-4</v>
      </c>
      <c r="I152">
        <f t="shared" si="25"/>
        <v>4</v>
      </c>
    </row>
    <row r="153" spans="1:9" x14ac:dyDescent="0.25">
      <c r="A153">
        <v>1.52</v>
      </c>
      <c r="B153">
        <f t="shared" si="19"/>
        <v>2.2493335328713937</v>
      </c>
      <c r="C153">
        <f t="shared" si="20"/>
        <v>2.5</v>
      </c>
      <c r="D153">
        <f t="shared" si="21"/>
        <v>-0.2506664671286063</v>
      </c>
      <c r="E153">
        <f t="shared" si="22"/>
        <v>2.3746667664356966</v>
      </c>
      <c r="F153">
        <f t="shared" si="18"/>
        <v>1.3</v>
      </c>
      <c r="G153">
        <f t="shared" si="23"/>
        <v>3.7</v>
      </c>
      <c r="H153">
        <f t="shared" si="24"/>
        <v>-4</v>
      </c>
      <c r="I153">
        <f t="shared" si="25"/>
        <v>4</v>
      </c>
    </row>
    <row r="154" spans="1:9" x14ac:dyDescent="0.25">
      <c r="A154">
        <v>1.53</v>
      </c>
      <c r="B154">
        <f t="shared" si="19"/>
        <v>2.1252373708285499</v>
      </c>
      <c r="C154">
        <f t="shared" si="20"/>
        <v>2.5</v>
      </c>
      <c r="D154">
        <f t="shared" si="21"/>
        <v>-0.37476262917145009</v>
      </c>
      <c r="E154">
        <f t="shared" si="22"/>
        <v>2.3126186854142752</v>
      </c>
      <c r="F154">
        <f t="shared" si="18"/>
        <v>1.3</v>
      </c>
      <c r="G154">
        <f t="shared" si="23"/>
        <v>3.7</v>
      </c>
      <c r="H154">
        <f t="shared" si="24"/>
        <v>-4</v>
      </c>
      <c r="I154">
        <f t="shared" si="25"/>
        <v>4</v>
      </c>
    </row>
    <row r="155" spans="1:9" x14ac:dyDescent="0.25">
      <c r="A155">
        <v>1.54</v>
      </c>
      <c r="B155">
        <f t="shared" si="19"/>
        <v>2.0026202256702903</v>
      </c>
      <c r="C155">
        <f t="shared" si="20"/>
        <v>2.5</v>
      </c>
      <c r="D155">
        <f t="shared" si="21"/>
        <v>-0.4973797743297097</v>
      </c>
      <c r="E155">
        <f t="shared" si="22"/>
        <v>2.2513101128351449</v>
      </c>
      <c r="F155">
        <f t="shared" si="18"/>
        <v>1.3</v>
      </c>
      <c r="G155">
        <f t="shared" si="23"/>
        <v>3.7</v>
      </c>
      <c r="H155">
        <f t="shared" si="24"/>
        <v>-4</v>
      </c>
      <c r="I155">
        <f t="shared" si="25"/>
        <v>4</v>
      </c>
    </row>
    <row r="156" spans="1:9" x14ac:dyDescent="0.25">
      <c r="A156">
        <v>1.55</v>
      </c>
      <c r="B156">
        <f t="shared" si="19"/>
        <v>1.881966011250106</v>
      </c>
      <c r="C156">
        <f t="shared" si="20"/>
        <v>2.5</v>
      </c>
      <c r="D156">
        <f t="shared" si="21"/>
        <v>-0.61803398874989401</v>
      </c>
      <c r="E156">
        <f t="shared" si="22"/>
        <v>2.190983005625053</v>
      </c>
      <c r="F156">
        <f t="shared" si="18"/>
        <v>1.3</v>
      </c>
      <c r="G156">
        <f t="shared" si="23"/>
        <v>3.7</v>
      </c>
      <c r="H156">
        <f t="shared" si="24"/>
        <v>-4</v>
      </c>
      <c r="I156">
        <f t="shared" si="25"/>
        <v>4</v>
      </c>
    </row>
    <row r="157" spans="1:9" x14ac:dyDescent="0.25">
      <c r="A157">
        <v>1.56</v>
      </c>
      <c r="B157">
        <f t="shared" si="19"/>
        <v>1.7637508946306455</v>
      </c>
      <c r="C157">
        <f t="shared" si="20"/>
        <v>2.5</v>
      </c>
      <c r="D157">
        <f t="shared" si="21"/>
        <v>-0.73624910536935451</v>
      </c>
      <c r="E157">
        <f t="shared" si="22"/>
        <v>2.1318754473153225</v>
      </c>
      <c r="F157">
        <f t="shared" si="18"/>
        <v>1.3</v>
      </c>
      <c r="G157">
        <f t="shared" si="23"/>
        <v>3.7</v>
      </c>
      <c r="H157">
        <f t="shared" si="24"/>
        <v>-4</v>
      </c>
      <c r="I157">
        <f t="shared" si="25"/>
        <v>4</v>
      </c>
    </row>
    <row r="158" spans="1:9" x14ac:dyDescent="0.25">
      <c r="A158">
        <v>1.57</v>
      </c>
      <c r="B158">
        <f t="shared" si="19"/>
        <v>1.6484414168698533</v>
      </c>
      <c r="C158">
        <f t="shared" si="20"/>
        <v>2.5</v>
      </c>
      <c r="D158">
        <f t="shared" si="21"/>
        <v>-0.85155858313014665</v>
      </c>
      <c r="E158">
        <f t="shared" si="22"/>
        <v>2.0742207084349267</v>
      </c>
      <c r="F158">
        <f t="shared" si="18"/>
        <v>1.3</v>
      </c>
      <c r="G158">
        <f t="shared" si="23"/>
        <v>3.7</v>
      </c>
      <c r="H158">
        <f t="shared" si="24"/>
        <v>-4</v>
      </c>
      <c r="I158">
        <f t="shared" si="25"/>
        <v>4</v>
      </c>
    </row>
    <row r="159" spans="1:9" x14ac:dyDescent="0.25">
      <c r="A159">
        <v>1.58</v>
      </c>
      <c r="B159">
        <f t="shared" si="19"/>
        <v>1.5364926517965689</v>
      </c>
      <c r="C159">
        <f t="shared" si="20"/>
        <v>2.5</v>
      </c>
      <c r="D159">
        <f t="shared" si="21"/>
        <v>-0.96350734820343109</v>
      </c>
      <c r="E159">
        <f t="shared" si="22"/>
        <v>2.0182463258982843</v>
      </c>
      <c r="F159">
        <f t="shared" si="18"/>
        <v>1.3</v>
      </c>
      <c r="G159">
        <f t="shared" si="23"/>
        <v>3.7</v>
      </c>
      <c r="H159">
        <f t="shared" si="24"/>
        <v>-4</v>
      </c>
      <c r="I159">
        <f t="shared" si="25"/>
        <v>4</v>
      </c>
    </row>
    <row r="160" spans="1:9" x14ac:dyDescent="0.25">
      <c r="A160">
        <v>1.59</v>
      </c>
      <c r="B160">
        <f t="shared" si="19"/>
        <v>1.4283464100420069</v>
      </c>
      <c r="C160">
        <f t="shared" si="20"/>
        <v>2.5</v>
      </c>
      <c r="D160">
        <f t="shared" si="21"/>
        <v>-1.0716535899579931</v>
      </c>
      <c r="E160">
        <f t="shared" si="22"/>
        <v>1.9641732050210035</v>
      </c>
      <c r="F160">
        <f t="shared" si="18"/>
        <v>1.3</v>
      </c>
      <c r="G160">
        <f t="shared" si="23"/>
        <v>3.7</v>
      </c>
      <c r="H160">
        <f t="shared" si="24"/>
        <v>-4</v>
      </c>
      <c r="I160">
        <f t="shared" si="25"/>
        <v>4</v>
      </c>
    </row>
    <row r="161" spans="1:9" x14ac:dyDescent="0.25">
      <c r="A161">
        <v>1.6</v>
      </c>
      <c r="B161">
        <f t="shared" si="19"/>
        <v>1.3244294954150544</v>
      </c>
      <c r="C161">
        <f t="shared" si="20"/>
        <v>2.5</v>
      </c>
      <c r="D161">
        <f t="shared" si="21"/>
        <v>-1.1755705045849456</v>
      </c>
      <c r="E161">
        <f t="shared" si="22"/>
        <v>1.9122147477075271</v>
      </c>
      <c r="F161">
        <f t="shared" si="18"/>
        <v>1.3</v>
      </c>
      <c r="G161">
        <f t="shared" si="23"/>
        <v>3.7</v>
      </c>
      <c r="H161">
        <f t="shared" si="24"/>
        <v>-4</v>
      </c>
      <c r="I161">
        <f t="shared" si="25"/>
        <v>4</v>
      </c>
    </row>
    <row r="162" spans="1:9" x14ac:dyDescent="0.25">
      <c r="A162">
        <v>1.61</v>
      </c>
      <c r="B162">
        <f t="shared" si="19"/>
        <v>1.225152020502619</v>
      </c>
      <c r="C162">
        <f t="shared" si="20"/>
        <v>2.5</v>
      </c>
      <c r="D162">
        <f t="shared" si="21"/>
        <v>-1.274847979497381</v>
      </c>
      <c r="E162">
        <f t="shared" si="22"/>
        <v>1.8625760102513094</v>
      </c>
      <c r="F162">
        <f t="shared" ref="F162:F184" si="26">$L$2+0.3+($L$3*$L$4)/2</f>
        <v>1.3</v>
      </c>
      <c r="G162">
        <f t="shared" si="23"/>
        <v>3.7</v>
      </c>
      <c r="H162">
        <f t="shared" si="24"/>
        <v>-4</v>
      </c>
      <c r="I162">
        <f t="shared" si="25"/>
        <v>4</v>
      </c>
    </row>
    <row r="163" spans="1:9" x14ac:dyDescent="0.25">
      <c r="A163">
        <v>1.62</v>
      </c>
      <c r="B163">
        <f t="shared" si="19"/>
        <v>1.1309057881426217</v>
      </c>
      <c r="C163">
        <f t="shared" si="20"/>
        <v>2.5</v>
      </c>
      <c r="D163">
        <f t="shared" si="21"/>
        <v>-1.3690942118573783</v>
      </c>
      <c r="E163">
        <f t="shared" si="22"/>
        <v>1.8154528940713108</v>
      </c>
      <c r="F163">
        <f t="shared" si="26"/>
        <v>1.3</v>
      </c>
      <c r="G163">
        <f t="shared" si="23"/>
        <v>3.7</v>
      </c>
      <c r="H163">
        <f t="shared" si="24"/>
        <v>-4</v>
      </c>
      <c r="I163">
        <f t="shared" si="25"/>
        <v>4</v>
      </c>
    </row>
    <row r="164" spans="1:9" x14ac:dyDescent="0.25">
      <c r="A164">
        <v>1.63</v>
      </c>
      <c r="B164">
        <f t="shared" si="19"/>
        <v>1.0420627451571789</v>
      </c>
      <c r="C164">
        <f t="shared" si="20"/>
        <v>2.5</v>
      </c>
      <c r="D164">
        <f t="shared" si="21"/>
        <v>-1.4579372548428211</v>
      </c>
      <c r="E164">
        <f t="shared" si="22"/>
        <v>1.7710313725785896</v>
      </c>
      <c r="F164">
        <f t="shared" si="26"/>
        <v>1.3</v>
      </c>
      <c r="G164">
        <f t="shared" si="23"/>
        <v>3.7</v>
      </c>
      <c r="H164">
        <f t="shared" si="24"/>
        <v>-4</v>
      </c>
      <c r="I164">
        <f t="shared" si="25"/>
        <v>4</v>
      </c>
    </row>
    <row r="165" spans="1:9" x14ac:dyDescent="0.25">
      <c r="A165">
        <v>1.64</v>
      </c>
      <c r="B165">
        <f t="shared" si="19"/>
        <v>0.95897351444842394</v>
      </c>
      <c r="C165">
        <f t="shared" si="20"/>
        <v>2.5</v>
      </c>
      <c r="D165">
        <f t="shared" si="21"/>
        <v>-1.5410264855515761</v>
      </c>
      <c r="E165">
        <f t="shared" si="22"/>
        <v>1.7294867572242119</v>
      </c>
      <c r="F165">
        <f t="shared" si="26"/>
        <v>1.3</v>
      </c>
      <c r="G165">
        <f t="shared" si="23"/>
        <v>3.7</v>
      </c>
      <c r="H165">
        <f t="shared" si="24"/>
        <v>-4</v>
      </c>
      <c r="I165">
        <f t="shared" si="25"/>
        <v>4</v>
      </c>
    </row>
    <row r="166" spans="1:9" x14ac:dyDescent="0.25">
      <c r="A166">
        <v>1.65</v>
      </c>
      <c r="B166">
        <f t="shared" si="19"/>
        <v>0.88196601125010554</v>
      </c>
      <c r="C166">
        <f t="shared" si="20"/>
        <v>2.5</v>
      </c>
      <c r="D166">
        <f t="shared" si="21"/>
        <v>-1.6180339887498945</v>
      </c>
      <c r="E166">
        <f t="shared" si="22"/>
        <v>1.6909830056250528</v>
      </c>
      <c r="F166">
        <f t="shared" si="26"/>
        <v>1.3</v>
      </c>
      <c r="G166">
        <f t="shared" si="23"/>
        <v>3.7</v>
      </c>
      <c r="H166">
        <f t="shared" si="24"/>
        <v>-4</v>
      </c>
      <c r="I166">
        <f t="shared" si="25"/>
        <v>4</v>
      </c>
    </row>
    <row r="167" spans="1:9" x14ac:dyDescent="0.25">
      <c r="A167">
        <v>1.66</v>
      </c>
      <c r="B167">
        <f t="shared" si="19"/>
        <v>0.81134414899597074</v>
      </c>
      <c r="C167">
        <f t="shared" si="20"/>
        <v>2.5</v>
      </c>
      <c r="D167">
        <f t="shared" si="21"/>
        <v>-1.6886558510040293</v>
      </c>
      <c r="E167">
        <f t="shared" si="22"/>
        <v>1.6556720744979854</v>
      </c>
      <c r="F167">
        <f t="shared" si="26"/>
        <v>1.3</v>
      </c>
      <c r="G167">
        <f t="shared" si="23"/>
        <v>3.7</v>
      </c>
      <c r="H167">
        <f t="shared" si="24"/>
        <v>-4</v>
      </c>
      <c r="I167">
        <f t="shared" si="25"/>
        <v>4</v>
      </c>
    </row>
    <row r="168" spans="1:9" x14ac:dyDescent="0.25">
      <c r="A168">
        <v>1.67</v>
      </c>
      <c r="B168">
        <f t="shared" si="19"/>
        <v>0.74738663991227394</v>
      </c>
      <c r="C168">
        <f t="shared" si="20"/>
        <v>2.5</v>
      </c>
      <c r="D168">
        <f t="shared" si="21"/>
        <v>-1.7526133600877261</v>
      </c>
      <c r="E168">
        <f t="shared" si="22"/>
        <v>1.623693319956137</v>
      </c>
      <c r="F168">
        <f t="shared" si="26"/>
        <v>1.3</v>
      </c>
      <c r="G168">
        <f t="shared" si="23"/>
        <v>3.7</v>
      </c>
      <c r="H168">
        <f t="shared" si="24"/>
        <v>-4</v>
      </c>
      <c r="I168">
        <f t="shared" si="25"/>
        <v>4</v>
      </c>
    </row>
    <row r="169" spans="1:9" x14ac:dyDescent="0.25">
      <c r="A169">
        <v>1.68</v>
      </c>
      <c r="B169">
        <f t="shared" si="19"/>
        <v>0.69034589506796218</v>
      </c>
      <c r="C169">
        <f t="shared" si="20"/>
        <v>2.5</v>
      </c>
      <c r="D169">
        <f t="shared" si="21"/>
        <v>-1.8096541049320378</v>
      </c>
      <c r="E169">
        <f t="shared" si="22"/>
        <v>1.5951729475339811</v>
      </c>
      <c r="F169">
        <f t="shared" si="26"/>
        <v>1.3</v>
      </c>
      <c r="G169">
        <f t="shared" si="23"/>
        <v>3.7</v>
      </c>
      <c r="H169">
        <f t="shared" si="24"/>
        <v>-4</v>
      </c>
      <c r="I169">
        <f t="shared" si="25"/>
        <v>4</v>
      </c>
    </row>
    <row r="170" spans="1:9" x14ac:dyDescent="0.25">
      <c r="A170">
        <v>1.69</v>
      </c>
      <c r="B170">
        <f t="shared" si="19"/>
        <v>0.64044702822349731</v>
      </c>
      <c r="C170">
        <f t="shared" si="20"/>
        <v>2.5</v>
      </c>
      <c r="D170">
        <f t="shared" si="21"/>
        <v>-1.8595529717765027</v>
      </c>
      <c r="E170">
        <f t="shared" si="22"/>
        <v>1.5702235141117487</v>
      </c>
      <c r="F170">
        <f t="shared" si="26"/>
        <v>1.3</v>
      </c>
      <c r="G170">
        <f t="shared" si="23"/>
        <v>3.7</v>
      </c>
      <c r="H170">
        <f t="shared" si="24"/>
        <v>-4</v>
      </c>
      <c r="I170">
        <f t="shared" si="25"/>
        <v>4</v>
      </c>
    </row>
    <row r="171" spans="1:9" x14ac:dyDescent="0.25">
      <c r="A171">
        <v>1.7</v>
      </c>
      <c r="B171">
        <f t="shared" si="19"/>
        <v>0.59788696740969316</v>
      </c>
      <c r="C171">
        <f t="shared" si="20"/>
        <v>2.5</v>
      </c>
      <c r="D171">
        <f t="shared" si="21"/>
        <v>-1.9021130325903068</v>
      </c>
      <c r="E171">
        <f t="shared" si="22"/>
        <v>1.5489434837048466</v>
      </c>
      <c r="F171">
        <f t="shared" si="26"/>
        <v>1.3</v>
      </c>
      <c r="G171">
        <f t="shared" si="23"/>
        <v>3.7</v>
      </c>
      <c r="H171">
        <f t="shared" si="24"/>
        <v>-4</v>
      </c>
      <c r="I171">
        <f t="shared" si="25"/>
        <v>4</v>
      </c>
    </row>
    <row r="172" spans="1:9" x14ac:dyDescent="0.25">
      <c r="A172">
        <v>1.71</v>
      </c>
      <c r="B172">
        <f t="shared" si="19"/>
        <v>0.56283367774273807</v>
      </c>
      <c r="C172">
        <f t="shared" si="20"/>
        <v>2.5</v>
      </c>
      <c r="D172">
        <f t="shared" si="21"/>
        <v>-1.9371663222572619</v>
      </c>
      <c r="E172">
        <f t="shared" si="22"/>
        <v>1.5314168388713689</v>
      </c>
      <c r="F172">
        <f t="shared" si="26"/>
        <v>1.3</v>
      </c>
      <c r="G172">
        <f t="shared" si="23"/>
        <v>3.7</v>
      </c>
      <c r="H172">
        <f t="shared" si="24"/>
        <v>-4</v>
      </c>
      <c r="I172">
        <f t="shared" si="25"/>
        <v>4</v>
      </c>
    </row>
    <row r="173" spans="1:9" x14ac:dyDescent="0.25">
      <c r="A173">
        <v>1.72</v>
      </c>
      <c r="B173">
        <f t="shared" si="19"/>
        <v>0.535425498542623</v>
      </c>
      <c r="C173">
        <f t="shared" si="20"/>
        <v>2.5</v>
      </c>
      <c r="D173">
        <f t="shared" si="21"/>
        <v>-1.964574501457377</v>
      </c>
      <c r="E173">
        <f t="shared" si="22"/>
        <v>1.5177127492713116</v>
      </c>
      <c r="F173">
        <f t="shared" si="26"/>
        <v>1.3</v>
      </c>
      <c r="G173">
        <f t="shared" si="23"/>
        <v>3.7</v>
      </c>
      <c r="H173">
        <f t="shared" si="24"/>
        <v>-4</v>
      </c>
      <c r="I173">
        <f t="shared" si="25"/>
        <v>4</v>
      </c>
    </row>
    <row r="174" spans="1:9" x14ac:dyDescent="0.25">
      <c r="A174">
        <v>1.73</v>
      </c>
      <c r="B174">
        <f t="shared" si="19"/>
        <v>0.51577059737104425</v>
      </c>
      <c r="C174">
        <f t="shared" si="20"/>
        <v>2.5</v>
      </c>
      <c r="D174">
        <f t="shared" si="21"/>
        <v>-1.9842294026289558</v>
      </c>
      <c r="E174">
        <f t="shared" si="22"/>
        <v>1.507885298685522</v>
      </c>
      <c r="F174">
        <f t="shared" si="26"/>
        <v>1.3</v>
      </c>
      <c r="G174">
        <f t="shared" si="23"/>
        <v>3.7</v>
      </c>
      <c r="H174">
        <f t="shared" si="24"/>
        <v>-4</v>
      </c>
      <c r="I174">
        <f t="shared" si="25"/>
        <v>4</v>
      </c>
    </row>
    <row r="175" spans="1:9" x14ac:dyDescent="0.25">
      <c r="A175">
        <v>1.74</v>
      </c>
      <c r="B175">
        <f t="shared" si="19"/>
        <v>0.50394654314345688</v>
      </c>
      <c r="C175">
        <f t="shared" si="20"/>
        <v>2.5</v>
      </c>
      <c r="D175">
        <f t="shared" si="21"/>
        <v>-1.9960534568565431</v>
      </c>
      <c r="E175">
        <f t="shared" si="22"/>
        <v>1.5019732715717284</v>
      </c>
      <c r="F175">
        <f t="shared" si="26"/>
        <v>1.3</v>
      </c>
      <c r="G175">
        <f t="shared" si="23"/>
        <v>3.7</v>
      </c>
      <c r="H175">
        <f t="shared" si="24"/>
        <v>-4</v>
      </c>
      <c r="I175">
        <f t="shared" si="25"/>
        <v>4</v>
      </c>
    </row>
    <row r="176" spans="1:9" x14ac:dyDescent="0.25">
      <c r="A176">
        <v>1.75</v>
      </c>
      <c r="B176">
        <f t="shared" si="19"/>
        <v>0.5</v>
      </c>
      <c r="C176">
        <f t="shared" si="20"/>
        <v>2.5</v>
      </c>
      <c r="D176">
        <f t="shared" si="21"/>
        <v>-2</v>
      </c>
      <c r="E176">
        <f t="shared" si="22"/>
        <v>1.5</v>
      </c>
      <c r="F176">
        <f t="shared" si="26"/>
        <v>1.3</v>
      </c>
      <c r="G176">
        <f t="shared" si="23"/>
        <v>3.7</v>
      </c>
      <c r="H176">
        <f t="shared" si="24"/>
        <v>-4</v>
      </c>
      <c r="I176">
        <f t="shared" si="25"/>
        <v>4</v>
      </c>
    </row>
    <row r="177" spans="1:9" x14ac:dyDescent="0.25">
      <c r="A177">
        <v>1.76</v>
      </c>
      <c r="B177">
        <f t="shared" si="19"/>
        <v>0.50394654314345688</v>
      </c>
      <c r="C177">
        <f t="shared" si="20"/>
        <v>2.5</v>
      </c>
      <c r="D177">
        <f t="shared" si="21"/>
        <v>-1.9960534568565431</v>
      </c>
      <c r="E177">
        <f t="shared" si="22"/>
        <v>1.5019732715717284</v>
      </c>
      <c r="F177">
        <f t="shared" si="26"/>
        <v>1.3</v>
      </c>
      <c r="G177">
        <f t="shared" si="23"/>
        <v>3.7</v>
      </c>
      <c r="H177">
        <f t="shared" si="24"/>
        <v>-4</v>
      </c>
      <c r="I177">
        <f t="shared" si="25"/>
        <v>4</v>
      </c>
    </row>
    <row r="178" spans="1:9" x14ac:dyDescent="0.25">
      <c r="A178">
        <v>1.77</v>
      </c>
      <c r="B178">
        <f t="shared" si="19"/>
        <v>0.51577059737104403</v>
      </c>
      <c r="C178">
        <f t="shared" si="20"/>
        <v>2.5</v>
      </c>
      <c r="D178">
        <f t="shared" si="21"/>
        <v>-1.984229402628956</v>
      </c>
      <c r="E178">
        <f t="shared" si="22"/>
        <v>1.507885298685522</v>
      </c>
      <c r="F178">
        <f t="shared" si="26"/>
        <v>1.3</v>
      </c>
      <c r="G178">
        <f t="shared" si="23"/>
        <v>3.7</v>
      </c>
      <c r="H178">
        <f t="shared" si="24"/>
        <v>-4</v>
      </c>
      <c r="I178">
        <f t="shared" si="25"/>
        <v>4</v>
      </c>
    </row>
    <row r="179" spans="1:9" x14ac:dyDescent="0.25">
      <c r="A179">
        <v>1.78</v>
      </c>
      <c r="B179">
        <f t="shared" si="19"/>
        <v>0.53542549854262278</v>
      </c>
      <c r="C179">
        <f t="shared" si="20"/>
        <v>2.5</v>
      </c>
      <c r="D179">
        <f t="shared" si="21"/>
        <v>-1.9645745014573772</v>
      </c>
      <c r="E179">
        <f t="shared" si="22"/>
        <v>1.5177127492713114</v>
      </c>
      <c r="F179">
        <f t="shared" si="26"/>
        <v>1.3</v>
      </c>
      <c r="G179">
        <f t="shared" si="23"/>
        <v>3.7</v>
      </c>
      <c r="H179">
        <f t="shared" si="24"/>
        <v>-4</v>
      </c>
      <c r="I179">
        <f t="shared" si="25"/>
        <v>4</v>
      </c>
    </row>
    <row r="180" spans="1:9" x14ac:dyDescent="0.25">
      <c r="A180">
        <v>1.79</v>
      </c>
      <c r="B180">
        <f t="shared" si="19"/>
        <v>0.56283367774273763</v>
      </c>
      <c r="C180">
        <f t="shared" si="20"/>
        <v>2.5</v>
      </c>
      <c r="D180">
        <f t="shared" si="21"/>
        <v>-1.9371663222572624</v>
      </c>
      <c r="E180">
        <f t="shared" si="22"/>
        <v>1.5314168388713689</v>
      </c>
      <c r="F180">
        <f t="shared" si="26"/>
        <v>1.3</v>
      </c>
      <c r="G180">
        <f t="shared" si="23"/>
        <v>3.7</v>
      </c>
      <c r="H180">
        <f t="shared" si="24"/>
        <v>-4</v>
      </c>
      <c r="I180">
        <f t="shared" si="25"/>
        <v>4</v>
      </c>
    </row>
    <row r="181" spans="1:9" x14ac:dyDescent="0.25">
      <c r="A181">
        <v>1.8</v>
      </c>
      <c r="B181">
        <f t="shared" si="19"/>
        <v>0.59788696740969249</v>
      </c>
      <c r="C181">
        <f t="shared" si="20"/>
        <v>2.5</v>
      </c>
      <c r="D181">
        <f t="shared" si="21"/>
        <v>-1.9021130325903075</v>
      </c>
      <c r="E181">
        <f t="shared" si="22"/>
        <v>1.5489434837048464</v>
      </c>
      <c r="F181">
        <f t="shared" si="26"/>
        <v>1.3</v>
      </c>
      <c r="G181">
        <f t="shared" si="23"/>
        <v>3.7</v>
      </c>
      <c r="H181">
        <f t="shared" si="24"/>
        <v>-4</v>
      </c>
      <c r="I181">
        <f t="shared" si="25"/>
        <v>4</v>
      </c>
    </row>
    <row r="182" spans="1:9" x14ac:dyDescent="0.25">
      <c r="A182">
        <v>1.81</v>
      </c>
      <c r="B182">
        <f t="shared" si="19"/>
        <v>0.64044702822349664</v>
      </c>
      <c r="C182">
        <f t="shared" si="20"/>
        <v>2.5</v>
      </c>
      <c r="D182">
        <f t="shared" si="21"/>
        <v>-1.8595529717765034</v>
      </c>
      <c r="E182">
        <f t="shared" si="22"/>
        <v>1.5702235141117482</v>
      </c>
      <c r="F182">
        <f t="shared" si="26"/>
        <v>1.3</v>
      </c>
      <c r="G182">
        <f t="shared" si="23"/>
        <v>3.7</v>
      </c>
      <c r="H182">
        <f t="shared" si="24"/>
        <v>-4</v>
      </c>
      <c r="I182">
        <f t="shared" si="25"/>
        <v>4</v>
      </c>
    </row>
    <row r="183" spans="1:9" x14ac:dyDescent="0.25">
      <c r="A183">
        <v>1.82</v>
      </c>
      <c r="B183">
        <f t="shared" si="19"/>
        <v>0.69034589506796151</v>
      </c>
      <c r="C183">
        <f t="shared" si="20"/>
        <v>2.5</v>
      </c>
      <c r="D183">
        <f t="shared" si="21"/>
        <v>-1.8096541049320385</v>
      </c>
      <c r="E183">
        <f t="shared" si="22"/>
        <v>1.5951729475339809</v>
      </c>
      <c r="F183">
        <f t="shared" si="26"/>
        <v>1.3</v>
      </c>
      <c r="G183">
        <f t="shared" si="23"/>
        <v>3.7</v>
      </c>
      <c r="H183">
        <f t="shared" si="24"/>
        <v>-4</v>
      </c>
      <c r="I183">
        <f t="shared" si="25"/>
        <v>4</v>
      </c>
    </row>
    <row r="184" spans="1:9" x14ac:dyDescent="0.25">
      <c r="A184">
        <v>1.83</v>
      </c>
      <c r="B184">
        <f t="shared" si="19"/>
        <v>0.74738663991227305</v>
      </c>
      <c r="C184">
        <f t="shared" si="20"/>
        <v>2.5</v>
      </c>
      <c r="D184">
        <f t="shared" si="21"/>
        <v>-1.7526133600877269</v>
      </c>
      <c r="E184">
        <f t="shared" si="22"/>
        <v>1.6236933199561365</v>
      </c>
      <c r="F184">
        <f t="shared" si="26"/>
        <v>1.3</v>
      </c>
      <c r="G184">
        <f t="shared" si="23"/>
        <v>3.7</v>
      </c>
      <c r="H184">
        <f t="shared" si="24"/>
        <v>-4</v>
      </c>
      <c r="I184">
        <f t="shared" si="25"/>
        <v>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Suppelt</dc:creator>
  <cp:lastModifiedBy>Mark Suppelt</cp:lastModifiedBy>
  <dcterms:created xsi:type="dcterms:W3CDTF">2025-01-09T13:15:20Z</dcterms:created>
  <dcterms:modified xsi:type="dcterms:W3CDTF">2025-02-14T09:43:43Z</dcterms:modified>
</cp:coreProperties>
</file>